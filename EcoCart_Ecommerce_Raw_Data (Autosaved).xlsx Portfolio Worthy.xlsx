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960" yWindow="1095" windowWidth="15495" windowHeight="6795" activeTab="1"/>
  </bookViews>
  <sheets>
    <sheet name="Raw Data" sheetId="1" r:id="rId1"/>
    <sheet name="Cleaned Data" sheetId="2" r:id="rId2"/>
    <sheet name="Analysis" sheetId="3" r:id="rId3"/>
    <sheet name="Sheet3" sheetId="4" state="hidden" r:id="rId4"/>
    <sheet name="Monthly Analysis" sheetId="5" r:id="rId5"/>
    <sheet name="Pivot Analysis" sheetId="6" r:id="rId6"/>
    <sheet name="Dashboard" sheetId="7" r:id="rId7"/>
    <sheet name="Insights&amp;Recommendations" sheetId="8" r:id="rId8"/>
    <sheet name="Executive Summary" sheetId="9" r:id="rId9"/>
    <sheet name="Sheet1" sheetId="10" state="hidden" r:id="rId10"/>
  </sheets>
  <calcPr calcId="124519"/>
  <pivotCaches>
    <pivotCache cacheId="0" r:id="rId11"/>
  </pivotCaches>
</workbook>
</file>

<file path=xl/calcChain.xml><?xml version="1.0" encoding="utf-8"?>
<calcChain xmlns="http://schemas.openxmlformats.org/spreadsheetml/2006/main">
  <c r="B3" i="10"/>
  <c r="B4"/>
  <c r="B5"/>
  <c r="B6"/>
  <c r="B7"/>
  <c r="B8"/>
  <c r="B9"/>
  <c r="B10"/>
  <c r="B11"/>
  <c r="B12"/>
  <c r="B13"/>
  <c r="B14"/>
  <c r="B15"/>
  <c r="B16"/>
  <c r="B2"/>
  <c r="B16" i="3" s="1"/>
  <c r="A1" i="10"/>
  <c r="E30" i="3"/>
  <c r="E31"/>
  <c r="E32"/>
  <c r="E29"/>
  <c r="E43"/>
  <c r="E44"/>
  <c r="E45"/>
  <c r="E42"/>
  <c r="N3" i="4"/>
  <c r="N4"/>
  <c r="N5"/>
  <c r="N2"/>
  <c r="K2"/>
  <c r="K3"/>
  <c r="K4"/>
  <c r="K5"/>
  <c r="L3"/>
  <c r="L4"/>
  <c r="L5"/>
  <c r="L2"/>
  <c r="E18" i="3"/>
  <c r="E19"/>
  <c r="E20"/>
  <c r="E21"/>
  <c r="E17"/>
  <c r="I2" i="4"/>
  <c r="I3"/>
  <c r="I4"/>
  <c r="I5"/>
  <c r="I6"/>
  <c r="G3"/>
  <c r="G2"/>
  <c r="E5" i="3"/>
  <c r="E4"/>
  <c r="E3" i="4"/>
  <c r="E4"/>
  <c r="E5"/>
  <c r="E6"/>
  <c r="E7"/>
  <c r="E8"/>
  <c r="E9"/>
  <c r="E10"/>
  <c r="E11"/>
  <c r="E12"/>
  <c r="E13"/>
  <c r="E14"/>
  <c r="E15"/>
  <c r="E16"/>
  <c r="E2"/>
  <c r="B20" i="3"/>
  <c r="B21"/>
  <c r="B22"/>
  <c r="B23"/>
  <c r="B24"/>
  <c r="B25"/>
  <c r="B26"/>
  <c r="B27"/>
  <c r="B28"/>
  <c r="B29"/>
  <c r="B30"/>
  <c r="B31"/>
  <c r="B32"/>
  <c r="B33"/>
  <c r="B19"/>
  <c r="D2" i="4"/>
  <c r="B15" i="3"/>
  <c r="B14"/>
  <c r="D3" i="4"/>
  <c r="D4"/>
  <c r="D5"/>
  <c r="D6"/>
  <c r="D7"/>
  <c r="D8"/>
  <c r="D9"/>
  <c r="D10"/>
  <c r="D11"/>
  <c r="D12"/>
  <c r="D13"/>
  <c r="D14"/>
  <c r="D15"/>
  <c r="D16"/>
  <c r="B45" i="3"/>
  <c r="B44"/>
  <c r="B43"/>
  <c r="B42"/>
  <c r="B41"/>
  <c r="B3" i="4"/>
  <c r="B4"/>
  <c r="B5"/>
  <c r="B6"/>
  <c r="B2"/>
  <c r="B39" i="3"/>
  <c r="B38"/>
  <c r="B9"/>
  <c r="B8"/>
  <c r="B7"/>
  <c r="B6"/>
  <c r="B5"/>
  <c r="B4"/>
  <c r="L3" i="2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2"/>
  <c r="B17" i="3" l="1"/>
  <c r="E27"/>
  <c r="G4" i="4"/>
  <c r="B20" i="5"/>
  <c r="B18"/>
  <c r="B13"/>
  <c r="B11"/>
  <c r="B6"/>
  <c r="B4"/>
  <c r="B14"/>
  <c r="P2" i="4"/>
  <c r="Q2" s="1"/>
  <c r="B19" i="5"/>
  <c r="B21"/>
  <c r="B12"/>
  <c r="B5"/>
  <c r="B7"/>
  <c r="E6" i="3"/>
  <c r="E15"/>
  <c r="E14"/>
  <c r="E39"/>
  <c r="E38"/>
  <c r="E40"/>
  <c r="B25" i="5" l="1"/>
  <c r="B24"/>
</calcChain>
</file>

<file path=xl/sharedStrings.xml><?xml version="1.0" encoding="utf-8"?>
<sst xmlns="http://schemas.openxmlformats.org/spreadsheetml/2006/main" count="2380" uniqueCount="275">
  <si>
    <t>Order ID</t>
  </si>
  <si>
    <t>Order Date</t>
  </si>
  <si>
    <t>Product</t>
  </si>
  <si>
    <t>Category</t>
  </si>
  <si>
    <t>Quantity</t>
  </si>
  <si>
    <t>Unit Price</t>
  </si>
  <si>
    <t>Sales Amount</t>
  </si>
  <si>
    <t>Payment Method</t>
  </si>
  <si>
    <t>Customer Type</t>
  </si>
  <si>
    <t>City</t>
  </si>
  <si>
    <t>Sales Channel</t>
  </si>
  <si>
    <t>EC2001</t>
  </si>
  <si>
    <t>Phone Charger</t>
  </si>
  <si>
    <t>Electronics</t>
  </si>
  <si>
    <t>Card</t>
  </si>
  <si>
    <t>New</t>
  </si>
  <si>
    <t>Benin City</t>
  </si>
  <si>
    <t>Marketplace</t>
  </si>
  <si>
    <t>EC2002</t>
  </si>
  <si>
    <t>Hoodie</t>
  </si>
  <si>
    <t>Fashion</t>
  </si>
  <si>
    <t>Cash</t>
  </si>
  <si>
    <t>Lagos</t>
  </si>
  <si>
    <t>Website</t>
  </si>
  <si>
    <t>EC2003</t>
  </si>
  <si>
    <t>Returning</t>
  </si>
  <si>
    <t>EC2004</t>
  </si>
  <si>
    <t>Sneakers</t>
  </si>
  <si>
    <t>Abuja</t>
  </si>
  <si>
    <t>WhatsApp</t>
  </si>
  <si>
    <t>EC2005</t>
  </si>
  <si>
    <t>EC2006</t>
  </si>
  <si>
    <t>Backpack</t>
  </si>
  <si>
    <t>Accessories</t>
  </si>
  <si>
    <t>POS</t>
  </si>
  <si>
    <t>EC2007</t>
  </si>
  <si>
    <t>Notebook</t>
  </si>
  <si>
    <t>Stationery</t>
  </si>
  <si>
    <t>EC2008</t>
  </si>
  <si>
    <t>Gel Pen Pack</t>
  </si>
  <si>
    <t>EC2009</t>
  </si>
  <si>
    <t>Transfer</t>
  </si>
  <si>
    <t>EC2010</t>
  </si>
  <si>
    <t>T-Shirt</t>
  </si>
  <si>
    <t>Ibadan</t>
  </si>
  <si>
    <t>EC2011</t>
  </si>
  <si>
    <t>EC2012</t>
  </si>
  <si>
    <t>Port Harcourt</t>
  </si>
  <si>
    <t>Instagram</t>
  </si>
  <si>
    <t>EC2013</t>
  </si>
  <si>
    <t>EC2014</t>
  </si>
  <si>
    <t>EC2015</t>
  </si>
  <si>
    <t>EC2016</t>
  </si>
  <si>
    <t>EC2017</t>
  </si>
  <si>
    <t>Sunglasses</t>
  </si>
  <si>
    <t>EC2018</t>
  </si>
  <si>
    <t>Laptop Stand</t>
  </si>
  <si>
    <t>EC2019</t>
  </si>
  <si>
    <t>EC2020</t>
  </si>
  <si>
    <t>EC2021</t>
  </si>
  <si>
    <t>EC2022</t>
  </si>
  <si>
    <t>Planner</t>
  </si>
  <si>
    <t>EC2023</t>
  </si>
  <si>
    <t>EC2024</t>
  </si>
  <si>
    <t>EC2025</t>
  </si>
  <si>
    <t>Phone Case</t>
  </si>
  <si>
    <t>EC2026</t>
  </si>
  <si>
    <t>Water Bottle</t>
  </si>
  <si>
    <t>Home &amp; Lifestyle</t>
  </si>
  <si>
    <t>EC2027</t>
  </si>
  <si>
    <t>Desk Lamp</t>
  </si>
  <si>
    <t>EC2028</t>
  </si>
  <si>
    <t>Wireless Earbuds</t>
  </si>
  <si>
    <t>lagos</t>
  </si>
  <si>
    <t>EC2029</t>
  </si>
  <si>
    <t>EC2030</t>
  </si>
  <si>
    <t>EC2031</t>
  </si>
  <si>
    <t>EC2032</t>
  </si>
  <si>
    <t>EC2033</t>
  </si>
  <si>
    <t>EC2034</t>
  </si>
  <si>
    <t>EC2035</t>
  </si>
  <si>
    <t>EC2036</t>
  </si>
  <si>
    <t>EC2037</t>
  </si>
  <si>
    <t>EC2038</t>
  </si>
  <si>
    <t>EC2039</t>
  </si>
  <si>
    <t>EC2040</t>
  </si>
  <si>
    <t>EC2041</t>
  </si>
  <si>
    <t>EC2042</t>
  </si>
  <si>
    <t>returning</t>
  </si>
  <si>
    <t>EC2043</t>
  </si>
  <si>
    <t>EC2044</t>
  </si>
  <si>
    <t>EC2045</t>
  </si>
  <si>
    <t>EC2046</t>
  </si>
  <si>
    <t>EC2047</t>
  </si>
  <si>
    <t>EC2048</t>
  </si>
  <si>
    <t>EC2049</t>
  </si>
  <si>
    <t>EC2050</t>
  </si>
  <si>
    <t>EC2051</t>
  </si>
  <si>
    <t>EC2052</t>
  </si>
  <si>
    <t>EC2053</t>
  </si>
  <si>
    <t>EC2054</t>
  </si>
  <si>
    <t>EC2055</t>
  </si>
  <si>
    <t>EC2056</t>
  </si>
  <si>
    <t>EC2057</t>
  </si>
  <si>
    <t>EC2058</t>
  </si>
  <si>
    <t>EC2059</t>
  </si>
  <si>
    <t>EC2060</t>
  </si>
  <si>
    <t>EC2061</t>
  </si>
  <si>
    <t>EC2062</t>
  </si>
  <si>
    <t>EC2063</t>
  </si>
  <si>
    <t>EC2064</t>
  </si>
  <si>
    <t>instagram</t>
  </si>
  <si>
    <t>EC2065</t>
  </si>
  <si>
    <t>EC2066</t>
  </si>
  <si>
    <t>Power Bank</t>
  </si>
  <si>
    <t>EC2067</t>
  </si>
  <si>
    <t>EC2068</t>
  </si>
  <si>
    <t>EC2069</t>
  </si>
  <si>
    <t>EC2070</t>
  </si>
  <si>
    <t>EC2071</t>
  </si>
  <si>
    <t>EC2072</t>
  </si>
  <si>
    <t>EC2073</t>
  </si>
  <si>
    <t>EC2074</t>
  </si>
  <si>
    <t>EC2075</t>
  </si>
  <si>
    <t>EC2076</t>
  </si>
  <si>
    <t>EC2077</t>
  </si>
  <si>
    <t>EC2078</t>
  </si>
  <si>
    <t>EC2079</t>
  </si>
  <si>
    <t>wireless earbuds</t>
  </si>
  <si>
    <t>EC2080</t>
  </si>
  <si>
    <t>EC2081</t>
  </si>
  <si>
    <t>EC2082</t>
  </si>
  <si>
    <t>EC2083</t>
  </si>
  <si>
    <t>EC2084</t>
  </si>
  <si>
    <t>EC2085</t>
  </si>
  <si>
    <t>EC2086</t>
  </si>
  <si>
    <t>EC2087</t>
  </si>
  <si>
    <t>EC2088</t>
  </si>
  <si>
    <t>EC2089</t>
  </si>
  <si>
    <t>EC2090</t>
  </si>
  <si>
    <t>EC2091</t>
  </si>
  <si>
    <t>EC2092</t>
  </si>
  <si>
    <t>EC2093</t>
  </si>
  <si>
    <t>EC2094</t>
  </si>
  <si>
    <t>EC2095</t>
  </si>
  <si>
    <t>EC2096</t>
  </si>
  <si>
    <t>EC2097</t>
  </si>
  <si>
    <t>electronics</t>
  </si>
  <si>
    <t>EC2098</t>
  </si>
  <si>
    <t>EC2099</t>
  </si>
  <si>
    <t>EC2100</t>
  </si>
  <si>
    <t>EC2101</t>
  </si>
  <si>
    <t>EC2102</t>
  </si>
  <si>
    <t>EC2103</t>
  </si>
  <si>
    <t>EC2104</t>
  </si>
  <si>
    <t>EC2105</t>
  </si>
  <si>
    <t>EC2106</t>
  </si>
  <si>
    <t>EC2107</t>
  </si>
  <si>
    <t>EC2108</t>
  </si>
  <si>
    <t>EC2109</t>
  </si>
  <si>
    <t>EC2110</t>
  </si>
  <si>
    <t>EC2111</t>
  </si>
  <si>
    <t>EC2112</t>
  </si>
  <si>
    <t>EC2113</t>
  </si>
  <si>
    <t>TRANSFER</t>
  </si>
  <si>
    <t>EC2114</t>
  </si>
  <si>
    <t>EC2115</t>
  </si>
  <si>
    <t>EC2116</t>
  </si>
  <si>
    <t>EC2117</t>
  </si>
  <si>
    <t>EC2118</t>
  </si>
  <si>
    <t>EC2119</t>
  </si>
  <si>
    <t>EC2120</t>
  </si>
  <si>
    <t>EC2121</t>
  </si>
  <si>
    <t>EC2122</t>
  </si>
  <si>
    <t>EC2123</t>
  </si>
  <si>
    <t>EC2124</t>
  </si>
  <si>
    <t>EC2125</t>
  </si>
  <si>
    <t>EC2126</t>
  </si>
  <si>
    <t>EC2127</t>
  </si>
  <si>
    <t>EC2128</t>
  </si>
  <si>
    <t>EC2129</t>
  </si>
  <si>
    <t>EC2130</t>
  </si>
  <si>
    <t>EC2131</t>
  </si>
  <si>
    <t>EC2132</t>
  </si>
  <si>
    <t>EC2133</t>
  </si>
  <si>
    <t>EC2134</t>
  </si>
  <si>
    <t>EC2135</t>
  </si>
  <si>
    <t>EC2136</t>
  </si>
  <si>
    <t>EC2137</t>
  </si>
  <si>
    <t>EC2138</t>
  </si>
  <si>
    <t>EC2139</t>
  </si>
  <si>
    <t>EC2140</t>
  </si>
  <si>
    <t>EC2141</t>
  </si>
  <si>
    <t>EC2142</t>
  </si>
  <si>
    <t>EC2143</t>
  </si>
  <si>
    <t>EC2144</t>
  </si>
  <si>
    <t>EC2145</t>
  </si>
  <si>
    <t>EC2146</t>
  </si>
  <si>
    <t>EC2147</t>
  </si>
  <si>
    <t>EC2148</t>
  </si>
  <si>
    <t>EC2149</t>
  </si>
  <si>
    <t>EC2150</t>
  </si>
  <si>
    <t>Month</t>
  </si>
  <si>
    <t>Monthly Analysis</t>
  </si>
  <si>
    <t>Overall Analysis</t>
  </si>
  <si>
    <t>Total Revenue</t>
  </si>
  <si>
    <t>Analysis</t>
  </si>
  <si>
    <t>Total Quantity Sold</t>
  </si>
  <si>
    <t>Average Sales Amount</t>
  </si>
  <si>
    <t>Highest Transaction</t>
  </si>
  <si>
    <t>Lowest Transaction</t>
  </si>
  <si>
    <t>Number Of Transactions</t>
  </si>
  <si>
    <t>Product Analysis</t>
  </si>
  <si>
    <t>Highest-revenue product</t>
  </si>
  <si>
    <t>Lowest-revenue product</t>
  </si>
  <si>
    <t>Highest-quantity product</t>
  </si>
  <si>
    <t>Lowest-quantity product</t>
  </si>
  <si>
    <t>Category Analysis</t>
  </si>
  <si>
    <t>Highest-revenue category</t>
  </si>
  <si>
    <t>Lowest-revenue category</t>
  </si>
  <si>
    <t>Revenue generated by each category:</t>
  </si>
  <si>
    <t>Revenue generated by each product:</t>
  </si>
  <si>
    <t>sales</t>
  </si>
  <si>
    <t>quantity</t>
  </si>
  <si>
    <t>Customer Analysis</t>
  </si>
  <si>
    <t>Revenue from New customers</t>
  </si>
  <si>
    <t>Revenue from Returning customers</t>
  </si>
  <si>
    <t>Which customer type generated the most revenue</t>
  </si>
  <si>
    <t>Location Analysis</t>
  </si>
  <si>
    <t>City with the highest revenue</t>
  </si>
  <si>
    <t>City with the lowest revenue</t>
  </si>
  <si>
    <t>Revenue generated by each city:</t>
  </si>
  <si>
    <t>Payment Analysis</t>
  </si>
  <si>
    <t>Most frequently used payment method</t>
  </si>
  <si>
    <t>Numbers of transactions for each method:</t>
  </si>
  <si>
    <t>Sales Channel Analysis</t>
  </si>
  <si>
    <t xml:space="preserve">Highest-revenue sales channel </t>
  </si>
  <si>
    <t>Lowest-revenue sales channel</t>
  </si>
  <si>
    <t>Number of transactions by sales channel</t>
  </si>
  <si>
    <t>Revenue generated by each sales channel:</t>
  </si>
  <si>
    <t>Revenue for each month:</t>
  </si>
  <si>
    <t>April</t>
  </si>
  <si>
    <t>March</t>
  </si>
  <si>
    <t>May</t>
  </si>
  <si>
    <t>February</t>
  </si>
  <si>
    <t>Quantity sold each month:</t>
  </si>
  <si>
    <t>Number of transactions each month:</t>
  </si>
  <si>
    <t>Highest-revenue month:</t>
  </si>
  <si>
    <t>Lowest-revenue month:</t>
  </si>
  <si>
    <t>Row Labels</t>
  </si>
  <si>
    <t>Grand Total</t>
  </si>
  <si>
    <t>Sum of Sales Amount</t>
  </si>
  <si>
    <t>Pivot Analysis</t>
  </si>
  <si>
    <t xml:space="preserve"> Dashboard for EcoCart Data</t>
  </si>
  <si>
    <t>Categoreis</t>
  </si>
  <si>
    <t>Products</t>
  </si>
  <si>
    <t>Months</t>
  </si>
  <si>
    <t>Insights</t>
  </si>
  <si>
    <t>Electronics and Accessories perform similarly (₦885K each) — a stable secondary tier</t>
  </si>
  <si>
    <t>Stationery is the weakest category (₦263,900); Gel Pen Pack is the lowest-revenue product</t>
  </si>
  <si>
    <t>Fashion dominates (₦2,183,500 — nearly half of total revenue), driven largely by Sneakers (₦1,232,000, also highest quantity sold)</t>
  </si>
  <si>
    <t>Abuja leads (₦1,209,000), Port Harcourt lags (₦735,900) — a ₦473K gap between top and bottom city</t>
  </si>
  <si>
    <t>Marketplace is the top sales channel (₦1,318,300, 42 transactions), Website is weakest (₦838,500, only 27 transactions) despite similar transaction volume to WhatsApp/Instagram</t>
  </si>
  <si>
    <t>Card is the most-used payment method, followed closely by Cash — POS and Transfer trail</t>
  </si>
  <si>
    <t>April was the peak month (₦1,527,400, 114 units, 45 transactions) — nearly double May’s ₦808,700. Worth investigating what drove the April spike (promotion? seasonal demand?) and why May dropped off</t>
  </si>
  <si>
    <t>Double down on Fashion/Sneakers — it’s the clear revenue driver; consider expanding SKUs or bundling with Accessories to lift average order value.</t>
  </si>
  <si>
    <t>Re-evaluate Stationery — either reposition (bundle with other categories) or scale back inventory investment given weak returns.</t>
  </si>
  <si>
    <t>Invest in retention programs for new customers — since returning customers already outspend new ones, targeted onboarding offers could convert more one-time buyers into repeat customers.</t>
  </si>
  <si>
    <t>Investigate the April-to-May drop — replicate whatever worked in April (promo, restock timing, marketing push) to smooth out revenue dips.</t>
  </si>
  <si>
    <t>Explore underperforming cities (Port Harcourt, Ibadan) — targeted local promotions or logistics improvements could close the gap with Abuja/Lagos.</t>
  </si>
  <si>
    <t>EcoCart generated ₦4,546,400 in revenue from 150 transactions between February and May. Fashion — led by Sneakers — is the standout category, while Stationery underperforms. Returning customers are more valuable than new ones, and Marketplace is the strongest sales channel, with Website notably lagging. Abuja is the top-performing city; Port Harcourt the weakest. Revenue peaked sharply in April before falling in May, pointing to a seasonal or promotional effect worth replicating. Overall, the business shows healthy customer retention and a clear category winner, but has room to improve underperforming channels, regions, and product lines.</t>
  </si>
  <si>
    <t>Executive Summary</t>
  </si>
  <si>
    <t>Recommendations</t>
  </si>
  <si>
    <t>Returning customers generated ₦2,681,300 in revenue than new ones with ₦1,865,100.</t>
  </si>
  <si>
    <t>Investigate the Website channel's lower revenue performance.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</si>
</sst>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2"/>
      <color rgb="FF222222"/>
      <name val="Arial"/>
      <family val="2"/>
    </font>
    <font>
      <sz val="11"/>
      <color rgb="FF222222"/>
      <name val="Calibri"/>
      <family val="2"/>
      <scheme val="minor"/>
    </font>
    <font>
      <b/>
      <u/>
      <sz val="11"/>
      <color rgb="FF22222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-0.249977111117893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medium">
        <color theme="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ont="1"/>
    <xf numFmtId="0" fontId="3" fillId="0" borderId="0" xfId="0" applyFont="1"/>
    <xf numFmtId="0" fontId="1" fillId="0" borderId="0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8" fillId="6" borderId="0" xfId="0" applyFont="1" applyFill="1"/>
    <xf numFmtId="0" fontId="9" fillId="6" borderId="0" xfId="0" applyFont="1" applyFill="1" applyAlignment="1">
      <alignment horizontal="center"/>
    </xf>
    <xf numFmtId="0" fontId="3" fillId="6" borderId="0" xfId="0" applyFont="1" applyFill="1"/>
    <xf numFmtId="0" fontId="5" fillId="2" borderId="0" xfId="0" applyFont="1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2" borderId="0" xfId="0" applyFill="1" applyAlignment="1">
      <alignment horizontal="center"/>
    </xf>
    <xf numFmtId="0" fontId="0" fillId="7" borderId="0" xfId="0" applyFill="1" applyAlignment="1">
      <alignment horizontal="left"/>
    </xf>
    <xf numFmtId="0" fontId="0" fillId="7" borderId="0" xfId="0" applyNumberFormat="1" applyFill="1"/>
    <xf numFmtId="0" fontId="0" fillId="7" borderId="0" xfId="0" applyFill="1"/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2" fillId="6" borderId="1" xfId="0" applyFont="1" applyFill="1" applyBorder="1" applyAlignment="1">
      <alignment horizontal="center" vertical="top"/>
    </xf>
    <xf numFmtId="0" fontId="6" fillId="2" borderId="0" xfId="0" applyFont="1" applyFill="1"/>
    <xf numFmtId="0" fontId="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3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center" wrapText="1"/>
    </xf>
    <xf numFmtId="0" fontId="7" fillId="8" borderId="2" xfId="0" applyFont="1" applyFill="1" applyBorder="1"/>
    <xf numFmtId="0" fontId="4" fillId="8" borderId="3" xfId="0" applyFont="1" applyFill="1" applyBorder="1"/>
    <xf numFmtId="0" fontId="7" fillId="8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3" fillId="0" borderId="3" xfId="0" applyFont="1" applyBorder="1"/>
    <xf numFmtId="0" fontId="6" fillId="8" borderId="2" xfId="0" applyFont="1" applyFill="1" applyBorder="1"/>
    <xf numFmtId="0" fontId="0" fillId="8" borderId="3" xfId="0" applyFont="1" applyFill="1" applyBorder="1"/>
    <xf numFmtId="0" fontId="6" fillId="8" borderId="3" xfId="0" applyFont="1" applyFill="1" applyBorder="1"/>
    <xf numFmtId="0" fontId="3" fillId="8" borderId="3" xfId="0" applyFont="1" applyFill="1" applyBorder="1"/>
    <xf numFmtId="0" fontId="3" fillId="0" borderId="2" xfId="0" applyFont="1" applyBorder="1"/>
    <xf numFmtId="0" fontId="4" fillId="0" borderId="3" xfId="0" applyFont="1" applyBorder="1"/>
    <xf numFmtId="0" fontId="3" fillId="8" borderId="2" xfId="0" applyFont="1" applyFill="1" applyBorder="1"/>
    <xf numFmtId="0" fontId="3" fillId="0" borderId="3" xfId="0" applyFont="1" applyBorder="1" applyAlignment="1">
      <alignment wrapText="1"/>
    </xf>
    <xf numFmtId="0" fontId="0" fillId="8" borderId="2" xfId="0" applyFont="1" applyFill="1" applyBorder="1"/>
    <xf numFmtId="0" fontId="7" fillId="0" borderId="3" xfId="0" applyFont="1" applyBorder="1"/>
    <xf numFmtId="0" fontId="7" fillId="0" borderId="2" xfId="0" applyFont="1" applyBorder="1"/>
    <xf numFmtId="0" fontId="6" fillId="0" borderId="3" xfId="0" applyFont="1" applyBorder="1"/>
    <xf numFmtId="0" fontId="7" fillId="9" borderId="2" xfId="0" applyFont="1" applyFill="1" applyBorder="1"/>
    <xf numFmtId="0" fontId="4" fillId="9" borderId="3" xfId="0" applyFont="1" applyFill="1" applyBorder="1"/>
    <xf numFmtId="0" fontId="5" fillId="9" borderId="3" xfId="0" applyFont="1" applyFill="1" applyBorder="1" applyAlignment="1">
      <alignment horizontal="center"/>
    </xf>
    <xf numFmtId="0" fontId="7" fillId="9" borderId="3" xfId="0" applyFont="1" applyFill="1" applyBorder="1"/>
    <xf numFmtId="0" fontId="6" fillId="0" borderId="2" xfId="0" applyFont="1" applyBorder="1"/>
    <xf numFmtId="0" fontId="5" fillId="9" borderId="2" xfId="0" applyFont="1" applyFill="1" applyBorder="1"/>
    <xf numFmtId="0" fontId="0" fillId="9" borderId="3" xfId="0" applyFont="1" applyFill="1" applyBorder="1"/>
    <xf numFmtId="0" fontId="2" fillId="6" borderId="4" xfId="0" applyFont="1" applyFill="1" applyBorder="1" applyAlignment="1">
      <alignment horizontal="center" vertical="top"/>
    </xf>
    <xf numFmtId="14" fontId="0" fillId="8" borderId="3" xfId="0" applyNumberFormat="1" applyFont="1" applyFill="1" applyBorder="1"/>
    <xf numFmtId="14" fontId="0" fillId="0" borderId="3" xfId="0" applyNumberFormat="1" applyFont="1" applyBorder="1"/>
    <xf numFmtId="14" fontId="0" fillId="6" borderId="0" xfId="0" applyNumberFormat="1" applyFill="1"/>
  </cellXfs>
  <cellStyles count="1">
    <cellStyle name="Normal" xfId="0" builtinId="0"/>
  </cellStyles>
  <dxfs count="65">
    <dxf>
      <fill>
        <patternFill>
          <bgColor theme="6" tint="-0.499984740745262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0"/>
        </patternFill>
      </fill>
    </dxf>
    <dxf>
      <fill>
        <patternFill patternType="solid">
          <bgColor theme="3" tint="0.79998168889431442"/>
        </patternFill>
      </fill>
    </dxf>
    <dxf>
      <alignment horizontal="center" readingOrder="0"/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6" tint="-0.49998474074526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6" tint="-0.49998474074526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6" tint="-0.49998474074526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6" tint="-0.49998474074526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6" tint="-0.49998474074526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[EcoCart_Ecommerce_Raw_Data (Autosaved).xlsx Portfolio Worthy.xlsx]Pivot Analysis!PivotTable10</c:name>
    <c:fmtId val="2"/>
  </c:pivotSource>
  <c:chart>
    <c:title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Analysis'!$F$24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Analysis'!$E$25:$E$29</c:f>
              <c:strCache>
                <c:ptCount val="4"/>
                <c:pt idx="0">
                  <c:v>Instagram</c:v>
                </c:pt>
                <c:pt idx="1">
                  <c:v>Marketplace</c:v>
                </c:pt>
                <c:pt idx="2">
                  <c:v>Website</c:v>
                </c:pt>
                <c:pt idx="3">
                  <c:v>WhatsApp</c:v>
                </c:pt>
              </c:strCache>
            </c:strRef>
          </c:cat>
          <c:val>
            <c:numRef>
              <c:f>'Pivot Analysis'!$F$25:$F$29</c:f>
              <c:numCache>
                <c:formatCode>General</c:formatCode>
                <c:ptCount val="4"/>
                <c:pt idx="0">
                  <c:v>1122800</c:v>
                </c:pt>
                <c:pt idx="1">
                  <c:v>1318300</c:v>
                </c:pt>
                <c:pt idx="2">
                  <c:v>838500</c:v>
                </c:pt>
                <c:pt idx="3">
                  <c:v>1266800</c:v>
                </c:pt>
              </c:numCache>
            </c:numRef>
          </c:val>
        </c:ser>
        <c:axId val="138911744"/>
        <c:axId val="138913280"/>
      </c:barChart>
      <c:catAx>
        <c:axId val="138911744"/>
        <c:scaling>
          <c:orientation val="minMax"/>
        </c:scaling>
        <c:axPos val="b"/>
        <c:tickLblPos val="nextTo"/>
        <c:crossAx val="138913280"/>
        <c:crosses val="autoZero"/>
        <c:auto val="1"/>
        <c:lblAlgn val="ctr"/>
        <c:lblOffset val="100"/>
      </c:catAx>
      <c:valAx>
        <c:axId val="138913280"/>
        <c:scaling>
          <c:orientation val="minMax"/>
        </c:scaling>
        <c:axPos val="l"/>
        <c:majorGridlines/>
        <c:numFmt formatCode="General" sourceLinked="1"/>
        <c:tickLblPos val="nextTo"/>
        <c:crossAx val="13891174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7"/>
  <c:pivotSource>
    <c:name>[EcoCart_Ecommerce_Raw_Data (Autosaved).xlsx Portfolio Worthy.xlsx]Pivot Analysis!PivotTable5</c:name>
    <c:fmtId val="1"/>
  </c:pivotSource>
  <c:chart>
    <c:autoTitleDeleted val="1"/>
    <c:pivotFmts>
      <c:pivotFmt>
        <c:idx val="0"/>
      </c:pivotFmt>
      <c:pivotFmt>
        <c:idx val="1"/>
        <c:marker>
          <c:symbol val="none"/>
        </c:marker>
        <c:dLbl>
          <c:idx val="0"/>
          <c:layout/>
          <c:showVal val="1"/>
        </c:dLbl>
      </c:pivotFmt>
      <c:pivotFmt>
        <c:idx val="2"/>
      </c:pivotFmt>
      <c:pivotFmt>
        <c:idx val="3"/>
        <c:spPr>
          <a:solidFill>
            <a:schemeClr val="accent3">
              <a:lumMod val="50000"/>
            </a:schemeClr>
          </a:solidFill>
        </c:spPr>
      </c:pivotFmt>
    </c:pivotFmts>
    <c:view3D>
      <c:perspective val="30"/>
    </c:view3D>
    <c:sideWall>
      <c:spPr>
        <a:solidFill>
          <a:schemeClr val="accent4">
            <a:lumMod val="20000"/>
            <a:lumOff val="80000"/>
          </a:schemeClr>
        </a:solidFill>
      </c:spPr>
    </c:sideWall>
    <c:backWall>
      <c:spPr>
        <a:solidFill>
          <a:schemeClr val="accent4">
            <a:lumMod val="20000"/>
            <a:lumOff val="80000"/>
          </a:schemeClr>
        </a:solidFill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'Pivot Analysis'!$B$24</c:f>
              <c:strCache>
                <c:ptCount val="1"/>
                <c:pt idx="0">
                  <c:v>Total</c:v>
                </c:pt>
              </c:strCache>
            </c:strRef>
          </c:tx>
          <c:dPt>
            <c:idx val="2"/>
            <c:spPr>
              <a:solidFill>
                <a:schemeClr val="accent3">
                  <a:lumMod val="50000"/>
                </a:schemeClr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Analysis'!$A$25:$A$30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Lifestyle</c:v>
                </c:pt>
                <c:pt idx="4">
                  <c:v>Stationery</c:v>
                </c:pt>
              </c:strCache>
            </c:strRef>
          </c:cat>
          <c:val>
            <c:numRef>
              <c:f>'Pivot Analysis'!$B$25:$B$30</c:f>
              <c:numCache>
                <c:formatCode>General</c:formatCode>
                <c:ptCount val="5"/>
                <c:pt idx="0">
                  <c:v>883500</c:v>
                </c:pt>
                <c:pt idx="1">
                  <c:v>886000</c:v>
                </c:pt>
                <c:pt idx="2">
                  <c:v>2183500</c:v>
                </c:pt>
                <c:pt idx="3">
                  <c:v>329500</c:v>
                </c:pt>
                <c:pt idx="4">
                  <c:v>263900</c:v>
                </c:pt>
              </c:numCache>
            </c:numRef>
          </c:val>
        </c:ser>
        <c:dLbls>
          <c:showVal val="1"/>
        </c:dLbls>
        <c:shape val="box"/>
        <c:axId val="140985088"/>
        <c:axId val="140986624"/>
        <c:axId val="0"/>
      </c:bar3DChart>
      <c:catAx>
        <c:axId val="140985088"/>
        <c:scaling>
          <c:orientation val="minMax"/>
        </c:scaling>
        <c:axPos val="b"/>
        <c:majorTickMark val="none"/>
        <c:tickLblPos val="nextTo"/>
        <c:crossAx val="140986624"/>
        <c:crosses val="autoZero"/>
        <c:auto val="1"/>
        <c:lblAlgn val="ctr"/>
        <c:lblOffset val="100"/>
      </c:catAx>
      <c:valAx>
        <c:axId val="140986624"/>
        <c:scaling>
          <c:orientation val="minMax"/>
        </c:scaling>
        <c:delete val="1"/>
        <c:axPos val="l"/>
        <c:numFmt formatCode="General" sourceLinked="1"/>
        <c:majorTickMark val="none"/>
        <c:tickLblPos val="nextTo"/>
        <c:crossAx val="140985088"/>
        <c:crosses val="autoZero"/>
        <c:crossBetween val="between"/>
      </c:valAx>
    </c:plotArea>
    <c:plotVisOnly val="1"/>
  </c:chart>
  <c:spPr>
    <a:solidFill>
      <a:schemeClr val="accent4">
        <a:lumMod val="20000"/>
        <a:lumOff val="80000"/>
      </a:schemeClr>
    </a:solidFill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8"/>
  <c:pivotSource>
    <c:name>[EcoCart_Ecommerce_Raw_Data (Autosaved).xlsx Portfolio Worthy.xlsx]Pivot Analysis!PivotTable6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400">
                <a:solidFill>
                  <a:sysClr val="windowText" lastClr="000000"/>
                </a:solidFill>
              </a:rPr>
              <a:t>Revenue</a:t>
            </a:r>
            <a:r>
              <a:rPr lang="en-US"/>
              <a:t> </a:t>
            </a:r>
            <a:r>
              <a:rPr lang="en-US" sz="1400">
                <a:solidFill>
                  <a:sysClr val="windowText" lastClr="000000"/>
                </a:solidFill>
              </a:rPr>
              <a:t>by</a:t>
            </a:r>
            <a:r>
              <a:rPr lang="en-US"/>
              <a:t> </a:t>
            </a:r>
            <a:r>
              <a:rPr lang="en-US" sz="1400">
                <a:solidFill>
                  <a:sysClr val="windowText" lastClr="000000"/>
                </a:solidFill>
              </a:rPr>
              <a:t>City</a:t>
            </a:r>
            <a:r>
              <a:rPr lang="en-US"/>
              <a:t> </a:t>
            </a:r>
            <a:r>
              <a:rPr lang="en-US" sz="1400">
                <a:solidFill>
                  <a:sysClr val="windowText" lastClr="000000"/>
                </a:solidFill>
              </a:rPr>
              <a:t>Analysis</a:t>
            </a:r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Analysis'!$B$34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2"/>
            <c:spPr>
              <a:solidFill>
                <a:schemeClr val="accent4">
                  <a:lumMod val="40000"/>
                  <a:lumOff val="60000"/>
                </a:schemeClr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LeaderLines val="1"/>
          </c:dLbls>
          <c:cat>
            <c:strRef>
              <c:f>'Pivot Analysis'!$A$35:$A$40</c:f>
              <c:strCache>
                <c:ptCount val="5"/>
                <c:pt idx="0">
                  <c:v>Abuja</c:v>
                </c:pt>
                <c:pt idx="1">
                  <c:v>Benin City</c:v>
                </c:pt>
                <c:pt idx="2">
                  <c:v>Ibadan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'Pivot Analysis'!$B$35:$B$40</c:f>
              <c:numCache>
                <c:formatCode>General</c:formatCode>
                <c:ptCount val="5"/>
                <c:pt idx="0">
                  <c:v>1209000</c:v>
                </c:pt>
                <c:pt idx="1">
                  <c:v>867600</c:v>
                </c:pt>
                <c:pt idx="2">
                  <c:v>753300</c:v>
                </c:pt>
                <c:pt idx="3">
                  <c:v>980600</c:v>
                </c:pt>
                <c:pt idx="4">
                  <c:v>735900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</c:legend>
    <c:plotVisOnly val="1"/>
  </c:chart>
  <c:spPr>
    <a:solidFill>
      <a:schemeClr val="accent3">
        <a:lumMod val="60000"/>
        <a:lumOff val="40000"/>
      </a:schemeClr>
    </a:solidFill>
  </c:spPr>
  <c:txPr>
    <a:bodyPr/>
    <a:lstStyle/>
    <a:p>
      <a:pPr>
        <a:defRPr>
          <a:solidFill>
            <a:schemeClr val="accent3">
              <a:lumMod val="20000"/>
              <a:lumOff val="80000"/>
            </a:schemeClr>
          </a:solidFill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7"/>
  <c:pivotSource>
    <c:name>[EcoCart_Ecommerce_Raw_Data (Autosaved).xlsx Portfolio Worthy.xlsx]Pivot Analysis!PivotTable7</c:name>
    <c:fmtId val="1"/>
  </c:pivotSource>
  <c:chart>
    <c:autoTitleDeleted val="1"/>
    <c:pivotFmts>
      <c:pivotFmt>
        <c:idx val="0"/>
      </c:pivotFmt>
      <c:pivotFmt>
        <c:idx val="1"/>
        <c:marker>
          <c:symbol val="none"/>
        </c:marker>
        <c:dLbl>
          <c:idx val="0"/>
          <c:layout/>
          <c:showVal val="1"/>
          <c:showCatName val="1"/>
          <c:showPercent val="1"/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/>
      <c:doughnutChart>
        <c:varyColors val="1"/>
        <c:ser>
          <c:idx val="0"/>
          <c:order val="0"/>
          <c:tx>
            <c:strRef>
              <c:f>'Pivot Analysis'!$F$4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CatName val="1"/>
            <c:showPercent val="1"/>
            <c:showLeaderLines val="1"/>
          </c:dLbls>
          <c:cat>
            <c:strRef>
              <c:f>'Pivot Analysis'!$E$5:$E$9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POS</c:v>
                </c:pt>
                <c:pt idx="3">
                  <c:v>Transfer</c:v>
                </c:pt>
              </c:strCache>
            </c:strRef>
          </c:cat>
          <c:val>
            <c:numRef>
              <c:f>'Pivot Analysis'!$F$5:$F$9</c:f>
              <c:numCache>
                <c:formatCode>General</c:formatCode>
                <c:ptCount val="4"/>
                <c:pt idx="0">
                  <c:v>1387200</c:v>
                </c:pt>
                <c:pt idx="1">
                  <c:v>1158000</c:v>
                </c:pt>
                <c:pt idx="2">
                  <c:v>1049300</c:v>
                </c:pt>
                <c:pt idx="3">
                  <c:v>951900</c:v>
                </c:pt>
              </c:numCache>
            </c:numRef>
          </c:val>
        </c:ser>
        <c:firstSliceAng val="0"/>
        <c:holeSize val="50"/>
      </c:doughnutChart>
      <c:dTable>
        <c:showHorzBorder val="1"/>
        <c:showVertBorder val="1"/>
        <c:showOutline val="1"/>
        <c:showKeys val="1"/>
      </c:dTable>
    </c:plotArea>
    <c:plotVisOnly val="1"/>
  </c:chart>
  <c:spPr>
    <a:solidFill>
      <a:schemeClr val="accent4">
        <a:lumMod val="40000"/>
        <a:lumOff val="60000"/>
      </a:schemeClr>
    </a:solidFill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3"/>
  <c:pivotSource>
    <c:name>[EcoCart_Ecommerce_Raw_Data (Autosaved).xlsx Portfolio Worthy.xlsx]Pivot Analysis!PivotTable9</c:name>
    <c:fmtId val="1"/>
  </c:pivotSource>
  <c:chart>
    <c:autoTitleDeleted val="1"/>
    <c:pivotFmts>
      <c:pivotFmt>
        <c:idx val="0"/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4">
              <a:lumMod val="75000"/>
            </a:schemeClr>
          </a:solidFill>
        </c:spP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'Pivot Analysis'!$F$13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dPt>
            <c:idx val="1"/>
            <c:spPr>
              <a:solidFill>
                <a:schemeClr val="accent4">
                  <a:lumMod val="75000"/>
                </a:schemeClr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Analysis'!$E$14:$E$18</c:f>
              <c:strCache>
                <c:ptCount val="4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</c:strCache>
            </c:strRef>
          </c:cat>
          <c:val>
            <c:numRef>
              <c:f>'Pivot Analysis'!$F$14:$F$18</c:f>
              <c:numCache>
                <c:formatCode>General</c:formatCode>
                <c:ptCount val="4"/>
                <c:pt idx="0">
                  <c:v>1153000</c:v>
                </c:pt>
                <c:pt idx="1">
                  <c:v>1057300</c:v>
                </c:pt>
                <c:pt idx="2">
                  <c:v>1527400</c:v>
                </c:pt>
                <c:pt idx="3">
                  <c:v>808700</c:v>
                </c:pt>
              </c:numCache>
            </c:numRef>
          </c:val>
        </c:ser>
        <c:dLbls>
          <c:showVal val="1"/>
        </c:dLbls>
        <c:gapWidth val="75"/>
        <c:overlap val="100"/>
        <c:axId val="141120640"/>
        <c:axId val="141122176"/>
      </c:barChart>
      <c:catAx>
        <c:axId val="141120640"/>
        <c:scaling>
          <c:orientation val="minMax"/>
        </c:scaling>
        <c:axPos val="b"/>
        <c:majorTickMark val="none"/>
        <c:tickLblPos val="nextTo"/>
        <c:crossAx val="141122176"/>
        <c:crosses val="autoZero"/>
        <c:auto val="1"/>
        <c:lblAlgn val="ctr"/>
        <c:lblOffset val="100"/>
      </c:catAx>
      <c:valAx>
        <c:axId val="141122176"/>
        <c:scaling>
          <c:orientation val="minMax"/>
        </c:scaling>
        <c:delete val="1"/>
        <c:axPos val="l"/>
        <c:numFmt formatCode="General" sourceLinked="1"/>
        <c:majorTickMark val="none"/>
        <c:tickLblPos val="nextTo"/>
        <c:crossAx val="141120640"/>
        <c:crosses val="autoZero"/>
        <c:crossBetween val="between"/>
      </c:valAx>
      <c:spPr>
        <a:solidFill>
          <a:schemeClr val="bg2">
            <a:lumMod val="50000"/>
          </a:schemeClr>
        </a:solidFill>
      </c:spPr>
    </c:plotArea>
    <c:plotVisOnly val="1"/>
  </c:chart>
  <c:spPr>
    <a:solidFill>
      <a:schemeClr val="accent3">
        <a:lumMod val="60000"/>
        <a:lumOff val="40000"/>
      </a:schemeClr>
    </a:solidFill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2"/>
  <c:pivotSource>
    <c:name>[EcoCart_Ecommerce_Raw_Data (Autosaved).xlsx Portfolio Worthy.xlsx]Sheet3!PivotTable12</c:name>
    <c:fmtId val="1"/>
  </c:pivotSource>
  <c:chart>
    <c:autoTitleDeleted val="1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spPr>
          <a:solidFill>
            <a:schemeClr val="accent4">
              <a:lumMod val="40000"/>
              <a:lumOff val="60000"/>
            </a:schemeClr>
          </a:solidFill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</c:spPr>
      </c:pivotFmt>
      <c:pivotFmt>
        <c:idx val="5"/>
        <c:spPr>
          <a:solidFill>
            <a:schemeClr val="accent4">
              <a:lumMod val="50000"/>
            </a:schemeClr>
          </a:solidFill>
        </c:spPr>
      </c:pivotFmt>
    </c:pivotFmts>
    <c:view3D>
      <c:perspective val="30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Sheet3!$P$8</c:f>
              <c:strCache>
                <c:ptCount val="1"/>
                <c:pt idx="0">
                  <c:v>Total</c:v>
                </c:pt>
              </c:strCache>
            </c:strRef>
          </c:tx>
          <c:dPt>
            <c:idx val="3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9"/>
            <c:spPr>
              <a:solidFill>
                <a:schemeClr val="accent4">
                  <a:lumMod val="40000"/>
                  <a:lumOff val="60000"/>
                </a:schemeClr>
              </a:solidFill>
            </c:spPr>
          </c:dPt>
          <c:dPt>
            <c:idx val="10"/>
            <c:spPr>
              <a:solidFill>
                <a:schemeClr val="accent4">
                  <a:lumMod val="50000"/>
                </a:schemeClr>
              </a:solidFill>
            </c:spPr>
          </c:dPt>
          <c:cat>
            <c:strRef>
              <c:f>Sheet3!$O$9:$O$24</c:f>
              <c:strCache>
                <c:ptCount val="15"/>
                <c:pt idx="0">
                  <c:v>Backpack</c:v>
                </c:pt>
                <c:pt idx="1">
                  <c:v>Desk Lamp</c:v>
                </c:pt>
                <c:pt idx="2">
                  <c:v>Gel Pen Pack</c:v>
                </c:pt>
                <c:pt idx="3">
                  <c:v>Hoodie</c:v>
                </c:pt>
                <c:pt idx="4">
                  <c:v>Laptop Stand</c:v>
                </c:pt>
                <c:pt idx="5">
                  <c:v>Notebook</c:v>
                </c:pt>
                <c:pt idx="6">
                  <c:v>Phone Case</c:v>
                </c:pt>
                <c:pt idx="7">
                  <c:v>Phone Charger</c:v>
                </c:pt>
                <c:pt idx="8">
                  <c:v>Planner</c:v>
                </c:pt>
                <c:pt idx="9">
                  <c:v>Power Bank</c:v>
                </c:pt>
                <c:pt idx="10">
                  <c:v>Sneakers</c:v>
                </c:pt>
                <c:pt idx="11">
                  <c:v>Sunglasses</c:v>
                </c:pt>
                <c:pt idx="12">
                  <c:v>T-Shirt</c:v>
                </c:pt>
                <c:pt idx="13">
                  <c:v>Water Bottle</c:v>
                </c:pt>
                <c:pt idx="14">
                  <c:v>Wireless Earbuds</c:v>
                </c:pt>
              </c:strCache>
            </c:strRef>
          </c:cat>
          <c:val>
            <c:numRef>
              <c:f>Sheet3!$P$9:$P$24</c:f>
              <c:numCache>
                <c:formatCode>General</c:formatCode>
                <c:ptCount val="15"/>
                <c:pt idx="0">
                  <c:v>450000</c:v>
                </c:pt>
                <c:pt idx="1">
                  <c:v>180000</c:v>
                </c:pt>
                <c:pt idx="2">
                  <c:v>68400</c:v>
                </c:pt>
                <c:pt idx="3">
                  <c:v>490000</c:v>
                </c:pt>
                <c:pt idx="4">
                  <c:v>348000</c:v>
                </c:pt>
                <c:pt idx="5">
                  <c:v>52500</c:v>
                </c:pt>
                <c:pt idx="6">
                  <c:v>85500</c:v>
                </c:pt>
                <c:pt idx="7">
                  <c:v>180000</c:v>
                </c:pt>
                <c:pt idx="8">
                  <c:v>143000</c:v>
                </c:pt>
                <c:pt idx="9">
                  <c:v>484000</c:v>
                </c:pt>
                <c:pt idx="10">
                  <c:v>1232000</c:v>
                </c:pt>
                <c:pt idx="11">
                  <c:v>224000</c:v>
                </c:pt>
                <c:pt idx="12">
                  <c:v>237500</c:v>
                </c:pt>
                <c:pt idx="13">
                  <c:v>149500</c:v>
                </c:pt>
                <c:pt idx="14">
                  <c:v>222000</c:v>
                </c:pt>
              </c:numCache>
            </c:numRef>
          </c:val>
        </c:ser>
        <c:gapWidth val="55"/>
        <c:gapDepth val="55"/>
        <c:shape val="cylinder"/>
        <c:axId val="141165312"/>
        <c:axId val="141163520"/>
        <c:axId val="0"/>
      </c:bar3DChart>
      <c:valAx>
        <c:axId val="14116352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41165312"/>
        <c:crosses val="autoZero"/>
        <c:crossBetween val="between"/>
      </c:valAx>
      <c:catAx>
        <c:axId val="141165312"/>
        <c:scaling>
          <c:orientation val="minMax"/>
        </c:scaling>
        <c:axPos val="b"/>
        <c:majorTickMark val="none"/>
        <c:tickLblPos val="nextTo"/>
        <c:crossAx val="141163520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spPr>
    <a:solidFill>
      <a:schemeClr val="accent4">
        <a:lumMod val="20000"/>
        <a:lumOff val="80000"/>
      </a:schemeClr>
    </a:solidFill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133351</xdr:rowOff>
    </xdr:from>
    <xdr:to>
      <xdr:col>4</xdr:col>
      <xdr:colOff>219075</xdr:colOff>
      <xdr:row>61</xdr:row>
      <xdr:rowOff>76201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27</xdr:row>
      <xdr:rowOff>104775</xdr:rowOff>
    </xdr:from>
    <xdr:to>
      <xdr:col>13</xdr:col>
      <xdr:colOff>390526</xdr:colOff>
      <xdr:row>46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9524</xdr:colOff>
      <xdr:row>27</xdr:row>
      <xdr:rowOff>114301</xdr:rowOff>
    </xdr:from>
    <xdr:to>
      <xdr:col>6</xdr:col>
      <xdr:colOff>304799</xdr:colOff>
      <xdr:row>46</xdr:row>
      <xdr:rowOff>9527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8</xdr:row>
      <xdr:rowOff>76200</xdr:rowOff>
    </xdr:from>
    <xdr:to>
      <xdr:col>6</xdr:col>
      <xdr:colOff>323850</xdr:colOff>
      <xdr:row>27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304800</xdr:colOff>
      <xdr:row>8</xdr:row>
      <xdr:rowOff>76200</xdr:rowOff>
    </xdr:from>
    <xdr:to>
      <xdr:col>13</xdr:col>
      <xdr:colOff>390525</xdr:colOff>
      <xdr:row>27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</xdr:colOff>
      <xdr:row>46</xdr:row>
      <xdr:rowOff>19051</xdr:rowOff>
    </xdr:from>
    <xdr:to>
      <xdr:col>13</xdr:col>
      <xdr:colOff>390525</xdr:colOff>
      <xdr:row>67</xdr:row>
      <xdr:rowOff>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133350</xdr:colOff>
      <xdr:row>2</xdr:row>
      <xdr:rowOff>47625</xdr:rowOff>
    </xdr:from>
    <xdr:to>
      <xdr:col>3</xdr:col>
      <xdr:colOff>19050</xdr:colOff>
      <xdr:row>6</xdr:row>
      <xdr:rowOff>184023</xdr:rowOff>
    </xdr:to>
    <xdr:sp macro="" textlink="Analysis!B4">
      <xdr:nvSpPr>
        <xdr:cNvPr id="9" name="Flowchart: Data 8"/>
        <xdr:cNvSpPr/>
      </xdr:nvSpPr>
      <xdr:spPr>
        <a:xfrm>
          <a:off x="133350" y="476250"/>
          <a:ext cx="1714500" cy="898398"/>
        </a:xfrm>
        <a:prstGeom prst="flowChartInputOutpu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fld id="{1764A2DA-3812-4678-BC2A-C78856EF86BF}" type="TxLink">
            <a:rPr lang="en-US" sz="1100">
              <a:ln>
                <a:solidFill>
                  <a:schemeClr val="accent3">
                    <a:lumMod val="75000"/>
                  </a:schemeClr>
                </a:solidFill>
              </a:ln>
              <a:solidFill>
                <a:schemeClr val="bg1"/>
              </a:solidFill>
            </a:rPr>
            <a:pPr algn="ctr"/>
            <a:t>4546400</a:t>
          </a:fld>
          <a:endParaRPr lang="en-US" sz="1100">
            <a:ln>
              <a:solidFill>
                <a:schemeClr val="accent3">
                  <a:lumMod val="75000"/>
                </a:schemeClr>
              </a:solidFill>
            </a:ln>
            <a:solidFill>
              <a:schemeClr val="bg1"/>
            </a:solidFill>
          </a:endParaRPr>
        </a:p>
      </xdr:txBody>
    </xdr:sp>
    <xdr:clientData/>
  </xdr:twoCellAnchor>
  <xdr:oneCellAnchor>
    <xdr:from>
      <xdr:col>3</xdr:col>
      <xdr:colOff>276225</xdr:colOff>
      <xdr:row>6</xdr:row>
      <xdr:rowOff>123825</xdr:rowOff>
    </xdr:from>
    <xdr:ext cx="184731" cy="264560"/>
    <xdr:sp macro="" textlink="">
      <xdr:nvSpPr>
        <xdr:cNvPr id="10" name="TextBox 9"/>
        <xdr:cNvSpPr txBox="1"/>
      </xdr:nvSpPr>
      <xdr:spPr>
        <a:xfrm>
          <a:off x="2105025" y="1076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419100</xdr:colOff>
      <xdr:row>2</xdr:row>
      <xdr:rowOff>38100</xdr:rowOff>
    </xdr:from>
    <xdr:ext cx="1200149" cy="264560"/>
    <xdr:sp macro="" textlink="">
      <xdr:nvSpPr>
        <xdr:cNvPr id="11" name="TextBox 10"/>
        <xdr:cNvSpPr txBox="1"/>
      </xdr:nvSpPr>
      <xdr:spPr>
        <a:xfrm>
          <a:off x="419100" y="466725"/>
          <a:ext cx="12001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solidFill>
                <a:schemeClr val="accent5">
                  <a:lumMod val="50000"/>
                </a:schemeClr>
              </a:solidFill>
            </a:rPr>
            <a:t>    Total</a:t>
          </a:r>
          <a:r>
            <a:rPr lang="en-US" sz="1100"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solidFill>
                <a:schemeClr val="accent5">
                  <a:lumMod val="40000"/>
                  <a:lumOff val="60000"/>
                </a:schemeClr>
              </a:solidFill>
            </a:rPr>
            <a:t> </a:t>
          </a:r>
          <a:r>
            <a:rPr lang="en-US" sz="1100"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solidFill>
                <a:schemeClr val="accent5">
                  <a:lumMod val="50000"/>
                </a:schemeClr>
              </a:solidFill>
            </a:rPr>
            <a:t>Revenue</a:t>
          </a:r>
        </a:p>
      </xdr:txBody>
    </xdr:sp>
    <xdr:clientData/>
  </xdr:oneCellAnchor>
  <xdr:twoCellAnchor>
    <xdr:from>
      <xdr:col>3</xdr:col>
      <xdr:colOff>209550</xdr:colOff>
      <xdr:row>2</xdr:row>
      <xdr:rowOff>28575</xdr:rowOff>
    </xdr:from>
    <xdr:to>
      <xdr:col>6</xdr:col>
      <xdr:colOff>485775</xdr:colOff>
      <xdr:row>7</xdr:row>
      <xdr:rowOff>3048</xdr:rowOff>
    </xdr:to>
    <xdr:sp macro="" textlink="Analysis!B6">
      <xdr:nvSpPr>
        <xdr:cNvPr id="12" name="Flowchart: Data 11"/>
        <xdr:cNvSpPr/>
      </xdr:nvSpPr>
      <xdr:spPr>
        <a:xfrm>
          <a:off x="2038350" y="457200"/>
          <a:ext cx="2105025" cy="926973"/>
        </a:xfrm>
        <a:prstGeom prst="flowChartInputOutpu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fld id="{C591DA73-EFA0-46B2-9616-ADEC3CF65EA6}" type="TxLink">
            <a:rPr lang="en-US" sz="1100">
              <a:ln>
                <a:solidFill>
                  <a:schemeClr val="accent4">
                    <a:lumMod val="50000"/>
                  </a:schemeClr>
                </a:solidFill>
              </a:ln>
              <a:solidFill>
                <a:schemeClr val="tx1"/>
              </a:solidFill>
            </a:rPr>
            <a:pPr algn="ctr"/>
            <a:t>30309.33333</a:t>
          </a:fld>
          <a:endParaRPr lang="en-US" sz="1100">
            <a:ln>
              <a:solidFill>
                <a:schemeClr val="accent4">
                  <a:lumMod val="50000"/>
                </a:schemeClr>
              </a:solidFill>
            </a:ln>
            <a:solidFill>
              <a:schemeClr val="tx1"/>
            </a:solidFill>
          </a:endParaRPr>
        </a:p>
      </xdr:txBody>
    </xdr:sp>
    <xdr:clientData/>
  </xdr:twoCellAnchor>
  <xdr:oneCellAnchor>
    <xdr:from>
      <xdr:col>3</xdr:col>
      <xdr:colOff>504825</xdr:colOff>
      <xdr:row>2</xdr:row>
      <xdr:rowOff>47625</xdr:rowOff>
    </xdr:from>
    <xdr:ext cx="1924050" cy="264560"/>
    <xdr:sp macro="" textlink="">
      <xdr:nvSpPr>
        <xdr:cNvPr id="14" name="TextBox 13"/>
        <xdr:cNvSpPr txBox="1"/>
      </xdr:nvSpPr>
      <xdr:spPr>
        <a:xfrm>
          <a:off x="2333625" y="476250"/>
          <a:ext cx="19240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>
              <a:ln>
                <a:solidFill>
                  <a:schemeClr val="accent4">
                    <a:lumMod val="50000"/>
                  </a:schemeClr>
                </a:solidFill>
              </a:ln>
              <a:solidFill>
                <a:schemeClr val="accent4">
                  <a:lumMod val="50000"/>
                </a:schemeClr>
              </a:solidFill>
            </a:rPr>
            <a:t>Average</a:t>
          </a:r>
          <a:r>
            <a:rPr lang="en-US" sz="1100" baseline="0">
              <a:ln>
                <a:solidFill>
                  <a:schemeClr val="accent4">
                    <a:lumMod val="50000"/>
                  </a:schemeClr>
                </a:solidFill>
              </a:ln>
              <a:solidFill>
                <a:schemeClr val="accent4">
                  <a:lumMod val="50000"/>
                </a:schemeClr>
              </a:solidFill>
            </a:rPr>
            <a:t> Transactions</a:t>
          </a:r>
          <a:r>
            <a:rPr lang="en-US" sz="1100" baseline="0">
              <a:ln>
                <a:solidFill>
                  <a:schemeClr val="accent4">
                    <a:lumMod val="50000"/>
                  </a:schemeClr>
                </a:solidFill>
              </a:ln>
              <a:solidFill>
                <a:schemeClr val="accent5">
                  <a:lumMod val="50000"/>
                </a:schemeClr>
              </a:solidFill>
            </a:rPr>
            <a:t> </a:t>
          </a:r>
          <a:r>
            <a:rPr lang="en-US" sz="1100" baseline="0">
              <a:ln>
                <a:solidFill>
                  <a:schemeClr val="accent4">
                    <a:lumMod val="50000"/>
                  </a:schemeClr>
                </a:solidFill>
              </a:ln>
              <a:solidFill>
                <a:schemeClr val="accent4">
                  <a:lumMod val="50000"/>
                </a:schemeClr>
              </a:solidFill>
            </a:rPr>
            <a:t>Value</a:t>
          </a:r>
          <a:endParaRPr lang="en-US" sz="1100">
            <a:ln>
              <a:solidFill>
                <a:schemeClr val="accent4">
                  <a:lumMod val="50000"/>
                </a:schemeClr>
              </a:solidFill>
            </a:ln>
            <a:solidFill>
              <a:schemeClr val="accent4">
                <a:lumMod val="50000"/>
              </a:schemeClr>
            </a:solidFill>
          </a:endParaRPr>
        </a:p>
      </xdr:txBody>
    </xdr:sp>
    <xdr:clientData/>
  </xdr:oneCellAnchor>
  <xdr:twoCellAnchor>
    <xdr:from>
      <xdr:col>7</xdr:col>
      <xdr:colOff>38100</xdr:colOff>
      <xdr:row>2</xdr:row>
      <xdr:rowOff>19050</xdr:rowOff>
    </xdr:from>
    <xdr:to>
      <xdr:col>10</xdr:col>
      <xdr:colOff>66675</xdr:colOff>
      <xdr:row>7</xdr:row>
      <xdr:rowOff>38100</xdr:rowOff>
    </xdr:to>
    <xdr:sp macro="" textlink="Analysis!B5">
      <xdr:nvSpPr>
        <xdr:cNvPr id="15" name="Flowchart: Data 14"/>
        <xdr:cNvSpPr/>
      </xdr:nvSpPr>
      <xdr:spPr>
        <a:xfrm>
          <a:off x="4305300" y="971550"/>
          <a:ext cx="1857375" cy="971550"/>
        </a:xfrm>
        <a:prstGeom prst="flowChartInputOutpu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fld id="{38EE2FBC-D5F5-4348-9F9B-F49988332E85}" type="TxLink">
            <a:rPr lang="en-US" sz="1100" b="1" cap="none" spc="0">
              <a:ln w="12700">
                <a:solidFill>
                  <a:schemeClr val="accent3">
                    <a:lumMod val="75000"/>
                  </a:schemeClr>
                </a:solidFill>
                <a:prstDash val="solid"/>
              </a:ln>
              <a:solidFill>
                <a:schemeClr val="accent3">
                  <a:lumMod val="50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pPr algn="ctr"/>
            <a:t>374</a:t>
          </a:fld>
          <a:endParaRPr lang="en-US" sz="1100" b="1" cap="none" spc="0">
            <a:ln w="12700">
              <a:solidFill>
                <a:schemeClr val="accent3">
                  <a:lumMod val="75000"/>
                </a:schemeClr>
              </a:solidFill>
              <a:prstDash val="solid"/>
            </a:ln>
            <a:solidFill>
              <a:schemeClr val="accent3">
                <a:lumMod val="50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twoCellAnchor>
  <xdr:oneCellAnchor>
    <xdr:from>
      <xdr:col>7</xdr:col>
      <xdr:colOff>409576</xdr:colOff>
      <xdr:row>2</xdr:row>
      <xdr:rowOff>66675</xdr:rowOff>
    </xdr:from>
    <xdr:ext cx="1876480" cy="264560"/>
    <xdr:sp macro="" textlink="">
      <xdr:nvSpPr>
        <xdr:cNvPr id="16" name="TextBox 15"/>
        <xdr:cNvSpPr txBox="1"/>
      </xdr:nvSpPr>
      <xdr:spPr>
        <a:xfrm>
          <a:off x="4676776" y="1019175"/>
          <a:ext cx="18764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>
              <a:ln>
                <a:solidFill>
                  <a:schemeClr val="accent3">
                    <a:lumMod val="50000"/>
                  </a:schemeClr>
                </a:solidFill>
              </a:ln>
              <a:solidFill>
                <a:schemeClr val="accent3">
                  <a:lumMod val="50000"/>
                </a:schemeClr>
              </a:solidFill>
            </a:rPr>
            <a:t>Total</a:t>
          </a:r>
          <a:r>
            <a:rPr lang="en-US" sz="1100">
              <a:ln>
                <a:solidFill>
                  <a:schemeClr val="accent3">
                    <a:lumMod val="50000"/>
                  </a:schemeClr>
                </a:solidFill>
              </a:ln>
            </a:rPr>
            <a:t> </a:t>
          </a:r>
          <a:r>
            <a:rPr lang="en-US" sz="1100">
              <a:ln>
                <a:solidFill>
                  <a:schemeClr val="accent3">
                    <a:lumMod val="50000"/>
                  </a:schemeClr>
                </a:solidFill>
              </a:ln>
              <a:solidFill>
                <a:schemeClr val="accent3">
                  <a:lumMod val="50000"/>
                </a:schemeClr>
              </a:solidFill>
            </a:rPr>
            <a:t>Quantity</a:t>
          </a:r>
          <a:r>
            <a:rPr lang="en-US" sz="1100" baseline="0">
              <a:ln>
                <a:solidFill>
                  <a:schemeClr val="accent3">
                    <a:lumMod val="50000"/>
                  </a:schemeClr>
                </a:solidFill>
              </a:ln>
            </a:rPr>
            <a:t> </a:t>
          </a:r>
          <a:r>
            <a:rPr lang="en-US" sz="1100" baseline="0">
              <a:ln>
                <a:solidFill>
                  <a:schemeClr val="accent3">
                    <a:lumMod val="50000"/>
                  </a:schemeClr>
                </a:solidFill>
              </a:ln>
              <a:solidFill>
                <a:schemeClr val="accent3">
                  <a:lumMod val="50000"/>
                </a:schemeClr>
              </a:solidFill>
            </a:rPr>
            <a:t>Sold</a:t>
          </a:r>
          <a:endParaRPr lang="en-US" sz="1100">
            <a:ln>
              <a:solidFill>
                <a:schemeClr val="accent3">
                  <a:lumMod val="50000"/>
                </a:schemeClr>
              </a:solidFill>
            </a:ln>
            <a:solidFill>
              <a:schemeClr val="accent3">
                <a:lumMod val="50000"/>
              </a:schemeClr>
            </a:solidFill>
          </a:endParaRPr>
        </a:p>
      </xdr:txBody>
    </xdr:sp>
    <xdr:clientData/>
  </xdr:oneCellAnchor>
  <xdr:twoCellAnchor>
    <xdr:from>
      <xdr:col>10</xdr:col>
      <xdr:colOff>200025</xdr:colOff>
      <xdr:row>1</xdr:row>
      <xdr:rowOff>180975</xdr:rowOff>
    </xdr:from>
    <xdr:to>
      <xdr:col>13</xdr:col>
      <xdr:colOff>342901</xdr:colOff>
      <xdr:row>7</xdr:row>
      <xdr:rowOff>57150</xdr:rowOff>
    </xdr:to>
    <xdr:sp macro="" textlink="Analysis!B9">
      <xdr:nvSpPr>
        <xdr:cNvPr id="17" name="Flowchart: Data 16"/>
        <xdr:cNvSpPr/>
      </xdr:nvSpPr>
      <xdr:spPr>
        <a:xfrm>
          <a:off x="6296025" y="419100"/>
          <a:ext cx="1971676" cy="1019175"/>
        </a:xfrm>
        <a:prstGeom prst="flowChartInputOutpu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fld id="{87DE5DE4-35B0-4E35-9269-9AC832E05A5C}" type="TxLink">
            <a:rPr lang="en-US" sz="1100">
              <a:ln>
                <a:solidFill>
                  <a:schemeClr val="accent4">
                    <a:lumMod val="75000"/>
                  </a:schemeClr>
                </a:solidFill>
              </a:ln>
              <a:solidFill>
                <a:schemeClr val="accent4">
                  <a:lumMod val="50000"/>
                </a:schemeClr>
              </a:solidFill>
            </a:rPr>
            <a:pPr algn="ctr"/>
            <a:t>150</a:t>
          </a:fld>
          <a:endParaRPr lang="en-US" sz="1100">
            <a:ln>
              <a:solidFill>
                <a:schemeClr val="accent4">
                  <a:lumMod val="75000"/>
                </a:schemeClr>
              </a:solidFill>
            </a:ln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oneCellAnchor>
    <xdr:from>
      <xdr:col>11</xdr:col>
      <xdr:colOff>114301</xdr:colOff>
      <xdr:row>2</xdr:row>
      <xdr:rowOff>76200</xdr:rowOff>
    </xdr:from>
    <xdr:ext cx="2098908" cy="264560"/>
    <xdr:sp macro="" textlink="">
      <xdr:nvSpPr>
        <xdr:cNvPr id="18" name="TextBox 17"/>
        <xdr:cNvSpPr txBox="1"/>
      </xdr:nvSpPr>
      <xdr:spPr>
        <a:xfrm>
          <a:off x="6819901" y="1028700"/>
          <a:ext cx="20989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>
              <a:ln>
                <a:solidFill>
                  <a:schemeClr val="accent4">
                    <a:lumMod val="50000"/>
                  </a:schemeClr>
                </a:solidFill>
              </a:ln>
              <a:solidFill>
                <a:schemeClr val="accent4">
                  <a:lumMod val="50000"/>
                </a:schemeClr>
              </a:solidFill>
            </a:rPr>
            <a:t>Total</a:t>
          </a:r>
          <a:r>
            <a:rPr lang="en-US" sz="1100" baseline="0">
              <a:ln>
                <a:solidFill>
                  <a:schemeClr val="accent4">
                    <a:lumMod val="50000"/>
                  </a:schemeClr>
                </a:solidFill>
              </a:ln>
            </a:rPr>
            <a:t> </a:t>
          </a:r>
          <a:r>
            <a:rPr lang="en-US" sz="1100" baseline="0">
              <a:ln>
                <a:solidFill>
                  <a:schemeClr val="accent4">
                    <a:lumMod val="50000"/>
                  </a:schemeClr>
                </a:solidFill>
              </a:ln>
              <a:solidFill>
                <a:schemeClr val="accent4">
                  <a:lumMod val="50000"/>
                </a:schemeClr>
              </a:solidFill>
            </a:rPr>
            <a:t>Transactions</a:t>
          </a:r>
          <a:endParaRPr lang="en-US" sz="1100">
            <a:ln>
              <a:solidFill>
                <a:schemeClr val="accent4">
                  <a:lumMod val="50000"/>
                </a:schemeClr>
              </a:solidFill>
            </a:ln>
            <a:solidFill>
              <a:schemeClr val="accent4">
                <a:lumMod val="50000"/>
              </a:schemeClr>
            </a:solidFill>
          </a:endParaRPr>
        </a:p>
      </xdr:txBody>
    </xdr:sp>
    <xdr:clientData/>
  </xdr:oneCellAnchor>
  <xdr:oneCellAnchor>
    <xdr:from>
      <xdr:col>8</xdr:col>
      <xdr:colOff>276225</xdr:colOff>
      <xdr:row>27</xdr:row>
      <xdr:rowOff>133350</xdr:rowOff>
    </xdr:from>
    <xdr:ext cx="2760627" cy="311496"/>
    <xdr:sp macro="" textlink="">
      <xdr:nvSpPr>
        <xdr:cNvPr id="19" name="TextBox 18"/>
        <xdr:cNvSpPr txBox="1"/>
      </xdr:nvSpPr>
      <xdr:spPr>
        <a:xfrm>
          <a:off x="5153025" y="5848350"/>
          <a:ext cx="2760627" cy="3114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sz="1400" b="1"/>
            <a:t>Revenue</a:t>
          </a:r>
          <a:r>
            <a:rPr lang="en-US" sz="1100"/>
            <a:t> </a:t>
          </a:r>
          <a:r>
            <a:rPr lang="en-US" sz="1400" b="1"/>
            <a:t>by</a:t>
          </a:r>
          <a:r>
            <a:rPr lang="en-US" sz="1100"/>
            <a:t> </a:t>
          </a:r>
          <a:r>
            <a:rPr lang="en-US" sz="1400" b="1"/>
            <a:t>Category</a:t>
          </a:r>
          <a:r>
            <a:rPr lang="en-US" sz="1100" baseline="0"/>
            <a:t> </a:t>
          </a:r>
          <a:r>
            <a:rPr lang="en-US" sz="1400" b="1" baseline="0"/>
            <a:t>Analysis</a:t>
          </a:r>
          <a:endParaRPr lang="en-US" sz="1400" b="1"/>
        </a:p>
      </xdr:txBody>
    </xdr:sp>
    <xdr:clientData/>
  </xdr:oneCellAnchor>
  <xdr:twoCellAnchor>
    <xdr:from>
      <xdr:col>2</xdr:col>
      <xdr:colOff>571500</xdr:colOff>
      <xdr:row>3</xdr:row>
      <xdr:rowOff>66678</xdr:rowOff>
    </xdr:from>
    <xdr:to>
      <xdr:col>3</xdr:col>
      <xdr:colOff>420053</xdr:colOff>
      <xdr:row>4</xdr:row>
      <xdr:rowOff>111062</xdr:rowOff>
    </xdr:to>
    <xdr:cxnSp macro="">
      <xdr:nvCxnSpPr>
        <xdr:cNvPr id="21" name="Elbow Connector 20"/>
        <xdr:cNvCxnSpPr>
          <a:endCxn id="12" idx="2"/>
        </xdr:cNvCxnSpPr>
      </xdr:nvCxnSpPr>
      <xdr:spPr>
        <a:xfrm>
          <a:off x="1790700" y="685803"/>
          <a:ext cx="458153" cy="234884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161925</xdr:colOff>
      <xdr:row>63</xdr:row>
      <xdr:rowOff>171450</xdr:rowOff>
    </xdr:from>
    <xdr:ext cx="3124200" cy="311496"/>
    <xdr:sp macro="" textlink="">
      <xdr:nvSpPr>
        <xdr:cNvPr id="40" name="TextBox 39"/>
        <xdr:cNvSpPr txBox="1"/>
      </xdr:nvSpPr>
      <xdr:spPr>
        <a:xfrm>
          <a:off x="161925" y="12744450"/>
          <a:ext cx="31242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400"/>
        </a:p>
      </xdr:txBody>
    </xdr:sp>
    <xdr:clientData/>
  </xdr:oneCellAnchor>
  <xdr:twoCellAnchor>
    <xdr:from>
      <xdr:col>6</xdr:col>
      <xdr:colOff>428625</xdr:colOff>
      <xdr:row>3</xdr:row>
      <xdr:rowOff>19050</xdr:rowOff>
    </xdr:from>
    <xdr:to>
      <xdr:col>7</xdr:col>
      <xdr:colOff>223838</xdr:colOff>
      <xdr:row>4</xdr:row>
      <xdr:rowOff>123825</xdr:rowOff>
    </xdr:to>
    <xdr:cxnSp macro="">
      <xdr:nvCxnSpPr>
        <xdr:cNvPr id="33" name="Elbow Connector 32"/>
        <xdr:cNvCxnSpPr>
          <a:endCxn id="15" idx="2"/>
        </xdr:cNvCxnSpPr>
      </xdr:nvCxnSpPr>
      <xdr:spPr>
        <a:xfrm>
          <a:off x="4086225" y="638175"/>
          <a:ext cx="404813" cy="295275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9526</xdr:colOff>
      <xdr:row>2</xdr:row>
      <xdr:rowOff>171448</xdr:rowOff>
    </xdr:from>
    <xdr:to>
      <xdr:col>10</xdr:col>
      <xdr:colOff>352425</xdr:colOff>
      <xdr:row>5</xdr:row>
      <xdr:rowOff>66677</xdr:rowOff>
    </xdr:to>
    <xdr:cxnSp macro="">
      <xdr:nvCxnSpPr>
        <xdr:cNvPr id="45" name="Elbow Connector 44"/>
        <xdr:cNvCxnSpPr/>
      </xdr:nvCxnSpPr>
      <xdr:spPr>
        <a:xfrm rot="16200000" flipH="1">
          <a:off x="6043611" y="661988"/>
          <a:ext cx="466729" cy="34289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0.00482</cdr:x>
      <cdr:y>0.0137</cdr:y>
    </cdr:from>
    <cdr:to>
      <cdr:x>0.77831</cdr:x>
      <cdr:y>0.45205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49" y="38099"/>
          <a:ext cx="3057525" cy="1219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chemeClr val="accent4">
                  <a:lumMod val="50000"/>
                </a:schemeClr>
              </a:solidFill>
            </a:rPr>
            <a:t>                                    </a:t>
          </a:r>
          <a:r>
            <a:rPr lang="en-US" sz="1400" b="1">
              <a:solidFill>
                <a:sysClr val="windowText" lastClr="000000"/>
              </a:solidFill>
            </a:rPr>
            <a:t>Payment</a:t>
          </a:r>
          <a:r>
            <a:rPr lang="en-US" sz="1100"/>
            <a:t> </a:t>
          </a:r>
          <a:r>
            <a:rPr lang="en-US" sz="1400" b="1">
              <a:solidFill>
                <a:sysClr val="windowText" lastClr="000000"/>
              </a:solidFill>
            </a:rPr>
            <a:t>Method</a:t>
          </a:r>
          <a:r>
            <a:rPr lang="en-US" sz="1100"/>
            <a:t> </a:t>
          </a:r>
          <a:r>
            <a:rPr lang="en-US" sz="1400" b="1">
              <a:solidFill>
                <a:sysClr val="windowText" lastClr="000000"/>
              </a:solidFill>
            </a:rPr>
            <a:t>Analysis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0.19274</cdr:x>
      <cdr:y>0</cdr:y>
    </cdr:from>
    <cdr:to>
      <cdr:x>0.70522</cdr:x>
      <cdr:y>0.18538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38999" y="0"/>
          <a:ext cx="2230751" cy="6762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chemeClr val="tx1"/>
              </a:solidFill>
            </a:rPr>
            <a:t>Revenue</a:t>
          </a:r>
          <a:r>
            <a:rPr lang="en-US" sz="1100">
              <a:solidFill>
                <a:schemeClr val="tx1"/>
              </a:solidFill>
            </a:rPr>
            <a:t> </a:t>
          </a:r>
          <a:r>
            <a:rPr lang="en-US" sz="1400" b="1">
              <a:solidFill>
                <a:sysClr val="windowText" lastClr="000000"/>
              </a:solidFill>
            </a:rPr>
            <a:t>by</a:t>
          </a:r>
          <a:r>
            <a:rPr lang="en-US" sz="1100">
              <a:solidFill>
                <a:schemeClr val="accent3">
                  <a:lumMod val="50000"/>
                </a:schemeClr>
              </a:solidFill>
            </a:rPr>
            <a:t> </a:t>
          </a:r>
          <a:r>
            <a:rPr lang="en-US" sz="1400" b="1">
              <a:solidFill>
                <a:sysClr val="windowText" lastClr="000000"/>
              </a:solidFill>
            </a:rPr>
            <a:t>Month</a:t>
          </a:r>
          <a:r>
            <a:rPr lang="en-US" sz="1100" baseline="0">
              <a:solidFill>
                <a:schemeClr val="accent3">
                  <a:lumMod val="50000"/>
                </a:schemeClr>
              </a:solidFill>
            </a:rPr>
            <a:t> </a:t>
          </a:r>
          <a:r>
            <a:rPr lang="en-US" sz="1400" b="1" baseline="0">
              <a:solidFill>
                <a:sysClr val="windowText" lastClr="000000"/>
              </a:solidFill>
            </a:rPr>
            <a:t>Analysis</a:t>
          </a:r>
          <a:endParaRPr lang="en-US" sz="1400" b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0.22976</cdr:x>
      <cdr:y>0.10444</cdr:y>
    </cdr:from>
    <cdr:to>
      <cdr:x>0.43982</cdr:x>
      <cdr:y>0.35509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000125" y="3810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0.51546</cdr:x>
      <cdr:y>0.00239</cdr:y>
    </cdr:from>
    <cdr:to>
      <cdr:x>0.70218</cdr:x>
      <cdr:y>0.27273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286248" y="9524"/>
          <a:ext cx="1552575" cy="1076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400"/>
            <a:t>Revenue</a:t>
          </a:r>
          <a:r>
            <a:rPr lang="en-US" sz="1100"/>
            <a:t> </a:t>
          </a:r>
          <a:r>
            <a:rPr lang="en-US" sz="1400"/>
            <a:t>by</a:t>
          </a:r>
          <a:r>
            <a:rPr lang="en-US" sz="1100"/>
            <a:t> </a:t>
          </a:r>
          <a:r>
            <a:rPr lang="en-US" sz="1400"/>
            <a:t>Products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92.357493171294" createdVersion="3" refreshedVersion="3" minRefreshableVersion="3" recordCount="151">
  <cacheSource type="worksheet">
    <worksheetSource ref="A2:L151" sheet="Cleaned Data"/>
  </cacheSource>
  <cacheFields count="12">
    <cacheField name="Order ID" numFmtId="0">
      <sharedItems containsBlank="1"/>
    </cacheField>
    <cacheField name="Order Date" numFmtId="14">
      <sharedItems containsSemiMixedTypes="0" containsNonDate="0" containsDate="1" containsString="0" minDate="2026-02-02T00:00:00" maxDate="2026-06-01T00:00:00"/>
    </cacheField>
    <cacheField name="Product" numFmtId="0">
      <sharedItems containsBlank="1" count="16">
        <s v="Phone Charger"/>
        <s v="Hoodie"/>
        <s v="Sneakers"/>
        <s v="Backpack"/>
        <s v="Notebook"/>
        <s v="Gel Pen Pack"/>
        <s v="T-Shirt"/>
        <s v="Sunglasses"/>
        <s v="Laptop Stand"/>
        <s v="Planner"/>
        <s v="Phone Case"/>
        <s v="Water Bottle"/>
        <s v="Desk Lamp"/>
        <s v="Wireless Earbuds"/>
        <s v="Power Bank"/>
        <m/>
      </sharedItems>
    </cacheField>
    <cacheField name="Category" numFmtId="0">
      <sharedItems containsBlank="1" count="6">
        <s v="Electronics"/>
        <s v="Fashion"/>
        <s v="Accessories"/>
        <s v="Stationery"/>
        <s v="Home &amp; Lifestyle"/>
        <m/>
      </sharedItems>
    </cacheField>
    <cacheField name="Quantity" numFmtId="0">
      <sharedItems containsString="0" containsBlank="1" containsNumber="1" containsInteger="1" minValue="1" maxValue="4"/>
    </cacheField>
    <cacheField name="Unit Price" numFmtId="0">
      <sharedItems containsString="0" containsBlank="1" containsNumber="1" containsInteger="1" minValue="1800" maxValue="28000"/>
    </cacheField>
    <cacheField name="Sales Amount" numFmtId="0">
      <sharedItems containsString="0" containsBlank="1" containsNumber="1" containsInteger="1" minValue="1800" maxValue="112000" count="53">
        <n v="22500"/>
        <n v="70000"/>
        <n v="84000"/>
        <n v="72000"/>
        <n v="10000"/>
        <n v="7200"/>
        <n v="1800"/>
        <n v="38000"/>
        <n v="112000"/>
        <n v="54000"/>
        <n v="2500"/>
        <n v="32000"/>
        <n v="58000"/>
        <n v="52500"/>
        <n v="16500"/>
        <n v="30000"/>
        <n v="4500"/>
        <n v="6500"/>
        <n v="36000"/>
        <n v="37000"/>
        <n v="5000"/>
        <n v="35000"/>
        <n v="13000"/>
        <n v="8000"/>
        <n v="18000"/>
        <n v="55500"/>
        <n v="56000"/>
        <n v="7500"/>
        <n v="15000"/>
        <n v="26000"/>
        <n v="22000"/>
        <n v="5500"/>
        <n v="9500"/>
        <n v="5400"/>
        <n v="14500"/>
        <n v="17500"/>
        <n v="24000"/>
        <n v="66000"/>
        <n v="29000"/>
        <n v="28000"/>
        <n v="48000"/>
        <n v="9000"/>
        <n v="19000"/>
        <n v="44000"/>
        <n v="16000"/>
        <n v="12000"/>
        <n v="18500"/>
        <n v="43500"/>
        <n v="13500"/>
        <n v="3600"/>
        <n v="11000"/>
        <n v="88000"/>
        <m/>
      </sharedItems>
    </cacheField>
    <cacheField name="Payment Method" numFmtId="0">
      <sharedItems containsBlank="1" count="5">
        <s v="Card"/>
        <s v="Cash"/>
        <s v="POS"/>
        <s v="Transfer"/>
        <m/>
      </sharedItems>
    </cacheField>
    <cacheField name="Customer Type" numFmtId="0">
      <sharedItems containsBlank="1" count="3">
        <s v="New"/>
        <s v="Returning"/>
        <m/>
      </sharedItems>
    </cacheField>
    <cacheField name="City" numFmtId="0">
      <sharedItems containsBlank="1" count="6">
        <s v="Benin City"/>
        <s v="Lagos"/>
        <s v="Abuja"/>
        <s v="Ibadan"/>
        <s v="Port Harcourt"/>
        <m/>
      </sharedItems>
    </cacheField>
    <cacheField name="Sales Channel" numFmtId="0">
      <sharedItems containsBlank="1" count="5">
        <s v="Marketplace"/>
        <s v="Website"/>
        <s v="WhatsApp"/>
        <s v="Instagram"/>
        <m/>
      </sharedItems>
    </cacheField>
    <cacheField name="Month" numFmtId="0">
      <sharedItems containsBlank="1" count="5">
        <s v="April"/>
        <s v="May"/>
        <s v="February"/>
        <s v="March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1">
  <r>
    <s v="EC2001"/>
    <d v="2026-04-06T00:00:00"/>
    <x v="0"/>
    <x v="0"/>
    <n v="3"/>
    <n v="7500"/>
    <x v="0"/>
    <x v="0"/>
    <x v="0"/>
    <x v="0"/>
    <x v="0"/>
    <x v="0"/>
  </r>
  <r>
    <s v="EC2002"/>
    <d v="2026-05-08T00:00:00"/>
    <x v="1"/>
    <x v="1"/>
    <n v="4"/>
    <n v="17500"/>
    <x v="1"/>
    <x v="1"/>
    <x v="0"/>
    <x v="1"/>
    <x v="1"/>
    <x v="1"/>
  </r>
  <r>
    <s v="EC2003"/>
    <d v="2026-05-16T00:00:00"/>
    <x v="0"/>
    <x v="0"/>
    <n v="3"/>
    <n v="7500"/>
    <x v="0"/>
    <x v="0"/>
    <x v="1"/>
    <x v="1"/>
    <x v="0"/>
    <x v="1"/>
  </r>
  <r>
    <s v="EC2004"/>
    <d v="2026-02-27T00:00:00"/>
    <x v="2"/>
    <x v="1"/>
    <n v="3"/>
    <n v="28000"/>
    <x v="2"/>
    <x v="1"/>
    <x v="1"/>
    <x v="2"/>
    <x v="2"/>
    <x v="2"/>
  </r>
  <r>
    <s v="EC2005"/>
    <d v="2026-05-07T00:00:00"/>
    <x v="1"/>
    <x v="1"/>
    <n v="4"/>
    <n v="17500"/>
    <x v="1"/>
    <x v="0"/>
    <x v="1"/>
    <x v="1"/>
    <x v="2"/>
    <x v="1"/>
  </r>
  <r>
    <s v="EC2006"/>
    <d v="2026-02-19T00:00:00"/>
    <x v="3"/>
    <x v="2"/>
    <n v="4"/>
    <n v="18000"/>
    <x v="3"/>
    <x v="2"/>
    <x v="0"/>
    <x v="2"/>
    <x v="2"/>
    <x v="2"/>
  </r>
  <r>
    <s v="EC2007"/>
    <d v="2026-02-12T00:00:00"/>
    <x v="4"/>
    <x v="3"/>
    <n v="4"/>
    <n v="2500"/>
    <x v="4"/>
    <x v="1"/>
    <x v="1"/>
    <x v="1"/>
    <x v="0"/>
    <x v="2"/>
  </r>
  <r>
    <s v="EC2008"/>
    <d v="2026-03-23T00:00:00"/>
    <x v="5"/>
    <x v="3"/>
    <n v="4"/>
    <n v="1800"/>
    <x v="5"/>
    <x v="2"/>
    <x v="1"/>
    <x v="0"/>
    <x v="0"/>
    <x v="3"/>
  </r>
  <r>
    <s v="EC2009"/>
    <d v="2026-04-15T00:00:00"/>
    <x v="5"/>
    <x v="3"/>
    <n v="1"/>
    <n v="1800"/>
    <x v="6"/>
    <x v="3"/>
    <x v="0"/>
    <x v="1"/>
    <x v="1"/>
    <x v="0"/>
  </r>
  <r>
    <s v="EC2010"/>
    <d v="2026-04-02T00:00:00"/>
    <x v="6"/>
    <x v="1"/>
    <n v="4"/>
    <n v="9500"/>
    <x v="7"/>
    <x v="3"/>
    <x v="1"/>
    <x v="3"/>
    <x v="1"/>
    <x v="0"/>
  </r>
  <r>
    <s v="EC2011"/>
    <d v="2026-04-28T00:00:00"/>
    <x v="2"/>
    <x v="1"/>
    <n v="4"/>
    <n v="28000"/>
    <x v="8"/>
    <x v="1"/>
    <x v="1"/>
    <x v="0"/>
    <x v="0"/>
    <x v="0"/>
  </r>
  <r>
    <s v="EC2012"/>
    <d v="2026-04-12T00:00:00"/>
    <x v="2"/>
    <x v="1"/>
    <n v="3"/>
    <n v="28000"/>
    <x v="2"/>
    <x v="1"/>
    <x v="1"/>
    <x v="4"/>
    <x v="3"/>
    <x v="0"/>
  </r>
  <r>
    <s v="EC2013"/>
    <d v="2026-02-02T00:00:00"/>
    <x v="3"/>
    <x v="2"/>
    <n v="3"/>
    <n v="18000"/>
    <x v="9"/>
    <x v="0"/>
    <x v="0"/>
    <x v="0"/>
    <x v="0"/>
    <x v="2"/>
  </r>
  <r>
    <s v="EC2014"/>
    <d v="2026-03-19T00:00:00"/>
    <x v="1"/>
    <x v="1"/>
    <n v="4"/>
    <n v="17500"/>
    <x v="1"/>
    <x v="3"/>
    <x v="1"/>
    <x v="4"/>
    <x v="0"/>
    <x v="3"/>
  </r>
  <r>
    <s v="EC2015"/>
    <d v="2026-05-15T00:00:00"/>
    <x v="5"/>
    <x v="3"/>
    <n v="4"/>
    <n v="1800"/>
    <x v="5"/>
    <x v="0"/>
    <x v="0"/>
    <x v="2"/>
    <x v="2"/>
    <x v="1"/>
  </r>
  <r>
    <s v="EC2016"/>
    <d v="2026-03-29T00:00:00"/>
    <x v="4"/>
    <x v="3"/>
    <n v="1"/>
    <n v="2500"/>
    <x v="10"/>
    <x v="2"/>
    <x v="1"/>
    <x v="3"/>
    <x v="0"/>
    <x v="3"/>
  </r>
  <r>
    <s v="EC2017"/>
    <d v="2026-02-09T00:00:00"/>
    <x v="7"/>
    <x v="1"/>
    <n v="4"/>
    <n v="8000"/>
    <x v="11"/>
    <x v="2"/>
    <x v="1"/>
    <x v="2"/>
    <x v="1"/>
    <x v="2"/>
  </r>
  <r>
    <s v="EC2018"/>
    <d v="2026-02-19T00:00:00"/>
    <x v="8"/>
    <x v="2"/>
    <n v="4"/>
    <n v="14500"/>
    <x v="12"/>
    <x v="1"/>
    <x v="0"/>
    <x v="1"/>
    <x v="1"/>
    <x v="2"/>
  </r>
  <r>
    <s v="EC2019"/>
    <d v="2026-04-20T00:00:00"/>
    <x v="4"/>
    <x v="3"/>
    <n v="1"/>
    <n v="2500"/>
    <x v="10"/>
    <x v="3"/>
    <x v="0"/>
    <x v="1"/>
    <x v="1"/>
    <x v="0"/>
  </r>
  <r>
    <s v="EC2020"/>
    <d v="2026-04-27T00:00:00"/>
    <x v="1"/>
    <x v="1"/>
    <n v="3"/>
    <n v="17500"/>
    <x v="13"/>
    <x v="2"/>
    <x v="0"/>
    <x v="1"/>
    <x v="2"/>
    <x v="0"/>
  </r>
  <r>
    <s v="EC2021"/>
    <d v="2026-04-30T00:00:00"/>
    <x v="2"/>
    <x v="1"/>
    <n v="4"/>
    <n v="28000"/>
    <x v="8"/>
    <x v="3"/>
    <x v="0"/>
    <x v="4"/>
    <x v="3"/>
    <x v="0"/>
  </r>
  <r>
    <s v="EC2022"/>
    <d v="2026-02-11T00:00:00"/>
    <x v="9"/>
    <x v="3"/>
    <n v="3"/>
    <n v="5500"/>
    <x v="14"/>
    <x v="1"/>
    <x v="0"/>
    <x v="3"/>
    <x v="2"/>
    <x v="2"/>
  </r>
  <r>
    <s v="EC2023"/>
    <d v="2026-03-22T00:00:00"/>
    <x v="5"/>
    <x v="3"/>
    <n v="4"/>
    <n v="1800"/>
    <x v="5"/>
    <x v="3"/>
    <x v="0"/>
    <x v="4"/>
    <x v="1"/>
    <x v="3"/>
  </r>
  <r>
    <s v="EC2024"/>
    <d v="2026-05-25T00:00:00"/>
    <x v="0"/>
    <x v="0"/>
    <n v="4"/>
    <n v="7500"/>
    <x v="15"/>
    <x v="0"/>
    <x v="0"/>
    <x v="2"/>
    <x v="2"/>
    <x v="1"/>
  </r>
  <r>
    <s v="EC2025"/>
    <d v="2026-02-04T00:00:00"/>
    <x v="10"/>
    <x v="2"/>
    <n v="1"/>
    <n v="4500"/>
    <x v="16"/>
    <x v="1"/>
    <x v="1"/>
    <x v="2"/>
    <x v="0"/>
    <x v="2"/>
  </r>
  <r>
    <s v="EC2026"/>
    <d v="2026-04-05T00:00:00"/>
    <x v="11"/>
    <x v="4"/>
    <n v="1"/>
    <n v="6500"/>
    <x v="17"/>
    <x v="1"/>
    <x v="0"/>
    <x v="3"/>
    <x v="3"/>
    <x v="0"/>
  </r>
  <r>
    <s v="EC2027"/>
    <d v="2026-03-31T00:00:00"/>
    <x v="12"/>
    <x v="4"/>
    <n v="3"/>
    <n v="12000"/>
    <x v="18"/>
    <x v="3"/>
    <x v="0"/>
    <x v="0"/>
    <x v="0"/>
    <x v="3"/>
  </r>
  <r>
    <s v="EC2028"/>
    <d v="2026-04-24T00:00:00"/>
    <x v="13"/>
    <x v="0"/>
    <n v="2"/>
    <n v="18500"/>
    <x v="19"/>
    <x v="3"/>
    <x v="0"/>
    <x v="1"/>
    <x v="1"/>
    <x v="0"/>
  </r>
  <r>
    <s v="EC2029"/>
    <d v="2026-04-03T00:00:00"/>
    <x v="4"/>
    <x v="3"/>
    <n v="2"/>
    <n v="2500"/>
    <x v="20"/>
    <x v="0"/>
    <x v="0"/>
    <x v="0"/>
    <x v="3"/>
    <x v="0"/>
  </r>
  <r>
    <s v="EC2030"/>
    <d v="2026-02-21T00:00:00"/>
    <x v="1"/>
    <x v="1"/>
    <n v="2"/>
    <n v="17500"/>
    <x v="21"/>
    <x v="3"/>
    <x v="1"/>
    <x v="2"/>
    <x v="0"/>
    <x v="2"/>
  </r>
  <r>
    <s v="EC2031"/>
    <d v="2026-05-23T00:00:00"/>
    <x v="5"/>
    <x v="3"/>
    <n v="4"/>
    <n v="1800"/>
    <x v="5"/>
    <x v="0"/>
    <x v="1"/>
    <x v="2"/>
    <x v="3"/>
    <x v="1"/>
  </r>
  <r>
    <s v="EC2032"/>
    <d v="2026-03-06T00:00:00"/>
    <x v="11"/>
    <x v="4"/>
    <n v="2"/>
    <n v="6500"/>
    <x v="22"/>
    <x v="1"/>
    <x v="1"/>
    <x v="4"/>
    <x v="2"/>
    <x v="3"/>
  </r>
  <r>
    <s v="EC2033"/>
    <d v="2026-03-14T00:00:00"/>
    <x v="4"/>
    <x v="3"/>
    <n v="2"/>
    <n v="2500"/>
    <x v="20"/>
    <x v="1"/>
    <x v="1"/>
    <x v="1"/>
    <x v="2"/>
    <x v="3"/>
  </r>
  <r>
    <s v="EC2034"/>
    <d v="2026-05-20T00:00:00"/>
    <x v="7"/>
    <x v="1"/>
    <n v="1"/>
    <n v="8000"/>
    <x v="23"/>
    <x v="3"/>
    <x v="0"/>
    <x v="1"/>
    <x v="1"/>
    <x v="1"/>
  </r>
  <r>
    <s v="EC2035"/>
    <d v="2026-04-24T00:00:00"/>
    <x v="10"/>
    <x v="2"/>
    <n v="4"/>
    <n v="4500"/>
    <x v="24"/>
    <x v="2"/>
    <x v="1"/>
    <x v="0"/>
    <x v="3"/>
    <x v="0"/>
  </r>
  <r>
    <s v="EC2036"/>
    <d v="2026-05-20T00:00:00"/>
    <x v="13"/>
    <x v="0"/>
    <n v="3"/>
    <n v="18500"/>
    <x v="25"/>
    <x v="3"/>
    <x v="1"/>
    <x v="0"/>
    <x v="3"/>
    <x v="1"/>
  </r>
  <r>
    <s v="EC2037"/>
    <d v="2026-04-13T00:00:00"/>
    <x v="0"/>
    <x v="0"/>
    <n v="3"/>
    <n v="7500"/>
    <x v="0"/>
    <x v="3"/>
    <x v="1"/>
    <x v="0"/>
    <x v="2"/>
    <x v="0"/>
  </r>
  <r>
    <s v="EC2038"/>
    <d v="2026-02-13T00:00:00"/>
    <x v="2"/>
    <x v="1"/>
    <n v="2"/>
    <n v="28000"/>
    <x v="26"/>
    <x v="2"/>
    <x v="0"/>
    <x v="4"/>
    <x v="3"/>
    <x v="2"/>
  </r>
  <r>
    <s v="EC2039"/>
    <d v="2026-05-09T00:00:00"/>
    <x v="0"/>
    <x v="0"/>
    <n v="1"/>
    <n v="7500"/>
    <x v="27"/>
    <x v="2"/>
    <x v="0"/>
    <x v="1"/>
    <x v="2"/>
    <x v="1"/>
  </r>
  <r>
    <s v="EC2040"/>
    <d v="2026-03-10T00:00:00"/>
    <x v="3"/>
    <x v="2"/>
    <n v="1"/>
    <n v="18000"/>
    <x v="24"/>
    <x v="2"/>
    <x v="0"/>
    <x v="2"/>
    <x v="2"/>
    <x v="3"/>
  </r>
  <r>
    <s v="EC2041"/>
    <d v="2026-03-25T00:00:00"/>
    <x v="0"/>
    <x v="0"/>
    <n v="1"/>
    <n v="7500"/>
    <x v="27"/>
    <x v="2"/>
    <x v="1"/>
    <x v="1"/>
    <x v="1"/>
    <x v="3"/>
  </r>
  <r>
    <s v="EC2042"/>
    <d v="2026-02-03T00:00:00"/>
    <x v="0"/>
    <x v="0"/>
    <n v="2"/>
    <n v="7500"/>
    <x v="28"/>
    <x v="2"/>
    <x v="1"/>
    <x v="1"/>
    <x v="2"/>
    <x v="2"/>
  </r>
  <r>
    <s v="EC2043"/>
    <d v="2026-04-19T00:00:00"/>
    <x v="11"/>
    <x v="4"/>
    <n v="4"/>
    <n v="6500"/>
    <x v="29"/>
    <x v="0"/>
    <x v="1"/>
    <x v="2"/>
    <x v="3"/>
    <x v="0"/>
  </r>
  <r>
    <s v="EC2044"/>
    <d v="2026-03-27T00:00:00"/>
    <x v="9"/>
    <x v="3"/>
    <n v="4"/>
    <n v="5500"/>
    <x v="30"/>
    <x v="0"/>
    <x v="1"/>
    <x v="0"/>
    <x v="2"/>
    <x v="3"/>
  </r>
  <r>
    <s v="EC2045"/>
    <d v="2026-05-16T00:00:00"/>
    <x v="12"/>
    <x v="4"/>
    <n v="3"/>
    <n v="12000"/>
    <x v="18"/>
    <x v="2"/>
    <x v="0"/>
    <x v="4"/>
    <x v="1"/>
    <x v="1"/>
  </r>
  <r>
    <s v="EC2046"/>
    <d v="2026-03-10T00:00:00"/>
    <x v="3"/>
    <x v="2"/>
    <n v="3"/>
    <n v="18000"/>
    <x v="9"/>
    <x v="0"/>
    <x v="1"/>
    <x v="4"/>
    <x v="2"/>
    <x v="3"/>
  </r>
  <r>
    <s v="EC2047"/>
    <d v="2026-04-11T00:00:00"/>
    <x v="9"/>
    <x v="3"/>
    <n v="1"/>
    <n v="5500"/>
    <x v="31"/>
    <x v="2"/>
    <x v="0"/>
    <x v="0"/>
    <x v="1"/>
    <x v="0"/>
  </r>
  <r>
    <s v="EC2048"/>
    <d v="2026-02-21T00:00:00"/>
    <x v="6"/>
    <x v="1"/>
    <n v="1"/>
    <n v="9500"/>
    <x v="32"/>
    <x v="0"/>
    <x v="0"/>
    <x v="1"/>
    <x v="3"/>
    <x v="2"/>
  </r>
  <r>
    <s v="EC2049"/>
    <d v="2026-04-18T00:00:00"/>
    <x v="5"/>
    <x v="3"/>
    <n v="3"/>
    <n v="1800"/>
    <x v="33"/>
    <x v="2"/>
    <x v="0"/>
    <x v="4"/>
    <x v="3"/>
    <x v="0"/>
  </r>
  <r>
    <s v="EC2050"/>
    <d v="2026-03-22T00:00:00"/>
    <x v="11"/>
    <x v="4"/>
    <n v="4"/>
    <n v="6500"/>
    <x v="29"/>
    <x v="1"/>
    <x v="0"/>
    <x v="4"/>
    <x v="3"/>
    <x v="3"/>
  </r>
  <r>
    <s v="EC2051"/>
    <d v="2026-02-24T00:00:00"/>
    <x v="1"/>
    <x v="1"/>
    <n v="2"/>
    <n v="17500"/>
    <x v="21"/>
    <x v="0"/>
    <x v="1"/>
    <x v="2"/>
    <x v="3"/>
    <x v="2"/>
  </r>
  <r>
    <s v="EC2052"/>
    <d v="2026-02-03T00:00:00"/>
    <x v="8"/>
    <x v="2"/>
    <n v="1"/>
    <n v="14500"/>
    <x v="34"/>
    <x v="2"/>
    <x v="1"/>
    <x v="4"/>
    <x v="2"/>
    <x v="2"/>
  </r>
  <r>
    <s v="EC2053"/>
    <d v="2026-04-22T00:00:00"/>
    <x v="11"/>
    <x v="4"/>
    <n v="2"/>
    <n v="6500"/>
    <x v="22"/>
    <x v="0"/>
    <x v="0"/>
    <x v="0"/>
    <x v="1"/>
    <x v="0"/>
  </r>
  <r>
    <s v="EC2054"/>
    <d v="2026-03-16T00:00:00"/>
    <x v="2"/>
    <x v="1"/>
    <n v="3"/>
    <n v="28000"/>
    <x v="2"/>
    <x v="2"/>
    <x v="0"/>
    <x v="1"/>
    <x v="3"/>
    <x v="3"/>
  </r>
  <r>
    <s v="EC2055"/>
    <d v="2026-03-01T00:00:00"/>
    <x v="4"/>
    <x v="3"/>
    <n v="1"/>
    <n v="2500"/>
    <x v="10"/>
    <x v="3"/>
    <x v="1"/>
    <x v="2"/>
    <x v="3"/>
    <x v="3"/>
  </r>
  <r>
    <s v="EC2056"/>
    <d v="2026-03-16T00:00:00"/>
    <x v="5"/>
    <x v="3"/>
    <n v="3"/>
    <n v="1800"/>
    <x v="33"/>
    <x v="3"/>
    <x v="1"/>
    <x v="2"/>
    <x v="0"/>
    <x v="3"/>
  </r>
  <r>
    <s v="EC2057"/>
    <d v="2026-04-12T00:00:00"/>
    <x v="2"/>
    <x v="1"/>
    <n v="4"/>
    <n v="28000"/>
    <x v="8"/>
    <x v="1"/>
    <x v="1"/>
    <x v="3"/>
    <x v="3"/>
    <x v="0"/>
  </r>
  <r>
    <s v="EC2058"/>
    <d v="2026-02-20T00:00:00"/>
    <x v="2"/>
    <x v="1"/>
    <n v="4"/>
    <n v="28000"/>
    <x v="8"/>
    <x v="1"/>
    <x v="0"/>
    <x v="2"/>
    <x v="0"/>
    <x v="2"/>
  </r>
  <r>
    <s v="EC2059"/>
    <d v="2026-04-23T00:00:00"/>
    <x v="1"/>
    <x v="1"/>
    <n v="1"/>
    <n v="17500"/>
    <x v="35"/>
    <x v="3"/>
    <x v="0"/>
    <x v="2"/>
    <x v="2"/>
    <x v="0"/>
  </r>
  <r>
    <s v="EC2060"/>
    <d v="2026-02-18T00:00:00"/>
    <x v="5"/>
    <x v="3"/>
    <n v="3"/>
    <n v="1800"/>
    <x v="33"/>
    <x v="0"/>
    <x v="0"/>
    <x v="0"/>
    <x v="3"/>
    <x v="2"/>
  </r>
  <r>
    <s v="EC2061"/>
    <d v="2026-04-15T00:00:00"/>
    <x v="7"/>
    <x v="1"/>
    <n v="3"/>
    <n v="8000"/>
    <x v="36"/>
    <x v="0"/>
    <x v="1"/>
    <x v="4"/>
    <x v="3"/>
    <x v="0"/>
  </r>
  <r>
    <s v="EC2062"/>
    <d v="2026-02-11T00:00:00"/>
    <x v="5"/>
    <x v="3"/>
    <n v="1"/>
    <n v="1800"/>
    <x v="6"/>
    <x v="3"/>
    <x v="1"/>
    <x v="2"/>
    <x v="2"/>
    <x v="2"/>
  </r>
  <r>
    <s v="EC2063"/>
    <d v="2026-05-06T00:00:00"/>
    <x v="3"/>
    <x v="2"/>
    <n v="1"/>
    <n v="18000"/>
    <x v="24"/>
    <x v="3"/>
    <x v="0"/>
    <x v="2"/>
    <x v="2"/>
    <x v="1"/>
  </r>
  <r>
    <s v="EC2064"/>
    <d v="2026-03-18T00:00:00"/>
    <x v="5"/>
    <x v="3"/>
    <n v="3"/>
    <n v="1800"/>
    <x v="33"/>
    <x v="3"/>
    <x v="1"/>
    <x v="3"/>
    <x v="3"/>
    <x v="3"/>
  </r>
  <r>
    <s v="EC2065"/>
    <d v="2026-03-27T00:00:00"/>
    <x v="7"/>
    <x v="1"/>
    <n v="4"/>
    <n v="8000"/>
    <x v="11"/>
    <x v="2"/>
    <x v="0"/>
    <x v="0"/>
    <x v="1"/>
    <x v="3"/>
  </r>
  <r>
    <s v="EC2066"/>
    <d v="2026-04-11T00:00:00"/>
    <x v="14"/>
    <x v="0"/>
    <n v="3"/>
    <n v="22000"/>
    <x v="37"/>
    <x v="3"/>
    <x v="0"/>
    <x v="1"/>
    <x v="1"/>
    <x v="0"/>
  </r>
  <r>
    <s v="EC2067"/>
    <d v="2026-05-19T00:00:00"/>
    <x v="5"/>
    <x v="3"/>
    <n v="1"/>
    <n v="1800"/>
    <x v="6"/>
    <x v="2"/>
    <x v="0"/>
    <x v="2"/>
    <x v="2"/>
    <x v="1"/>
  </r>
  <r>
    <s v="EC2068"/>
    <d v="2026-04-18T00:00:00"/>
    <x v="8"/>
    <x v="2"/>
    <n v="2"/>
    <n v="14500"/>
    <x v="38"/>
    <x v="3"/>
    <x v="0"/>
    <x v="1"/>
    <x v="2"/>
    <x v="0"/>
  </r>
  <r>
    <s v="EC2069"/>
    <d v="2026-05-23T00:00:00"/>
    <x v="4"/>
    <x v="3"/>
    <n v="1"/>
    <n v="2500"/>
    <x v="10"/>
    <x v="0"/>
    <x v="1"/>
    <x v="2"/>
    <x v="2"/>
    <x v="1"/>
  </r>
  <r>
    <s v="EC2070"/>
    <d v="2026-03-17T00:00:00"/>
    <x v="2"/>
    <x v="1"/>
    <n v="1"/>
    <n v="28000"/>
    <x v="39"/>
    <x v="1"/>
    <x v="1"/>
    <x v="1"/>
    <x v="3"/>
    <x v="3"/>
  </r>
  <r>
    <s v="EC2071"/>
    <d v="2026-04-29T00:00:00"/>
    <x v="7"/>
    <x v="1"/>
    <n v="3"/>
    <n v="8000"/>
    <x v="36"/>
    <x v="1"/>
    <x v="1"/>
    <x v="1"/>
    <x v="1"/>
    <x v="0"/>
  </r>
  <r>
    <s v="EC2072"/>
    <d v="2026-05-15T00:00:00"/>
    <x v="1"/>
    <x v="1"/>
    <n v="1"/>
    <n v="17500"/>
    <x v="35"/>
    <x v="1"/>
    <x v="1"/>
    <x v="2"/>
    <x v="3"/>
    <x v="1"/>
  </r>
  <r>
    <s v="EC2073"/>
    <d v="2026-03-28T00:00:00"/>
    <x v="14"/>
    <x v="0"/>
    <n v="3"/>
    <n v="22000"/>
    <x v="37"/>
    <x v="2"/>
    <x v="1"/>
    <x v="4"/>
    <x v="0"/>
    <x v="3"/>
  </r>
  <r>
    <s v="EC2074"/>
    <d v="2026-02-26T00:00:00"/>
    <x v="11"/>
    <x v="4"/>
    <n v="2"/>
    <n v="6500"/>
    <x v="22"/>
    <x v="1"/>
    <x v="0"/>
    <x v="2"/>
    <x v="2"/>
    <x v="2"/>
  </r>
  <r>
    <s v="EC2075"/>
    <d v="2026-02-28T00:00:00"/>
    <x v="12"/>
    <x v="4"/>
    <n v="4"/>
    <n v="12000"/>
    <x v="40"/>
    <x v="3"/>
    <x v="1"/>
    <x v="0"/>
    <x v="3"/>
    <x v="2"/>
  </r>
  <r>
    <s v="EC2076"/>
    <d v="2026-03-15T00:00:00"/>
    <x v="12"/>
    <x v="4"/>
    <n v="3"/>
    <n v="12000"/>
    <x v="18"/>
    <x v="0"/>
    <x v="1"/>
    <x v="2"/>
    <x v="0"/>
    <x v="3"/>
  </r>
  <r>
    <s v="EC2077"/>
    <d v="2026-04-11T00:00:00"/>
    <x v="3"/>
    <x v="2"/>
    <n v="2"/>
    <n v="18000"/>
    <x v="18"/>
    <x v="2"/>
    <x v="0"/>
    <x v="2"/>
    <x v="3"/>
    <x v="0"/>
  </r>
  <r>
    <s v="EC2078"/>
    <d v="2026-03-07T00:00:00"/>
    <x v="5"/>
    <x v="3"/>
    <n v="1"/>
    <n v="1800"/>
    <x v="6"/>
    <x v="2"/>
    <x v="1"/>
    <x v="4"/>
    <x v="0"/>
    <x v="3"/>
  </r>
  <r>
    <s v="EC2079"/>
    <d v="2026-04-28T00:00:00"/>
    <x v="13"/>
    <x v="0"/>
    <n v="3"/>
    <n v="18500"/>
    <x v="25"/>
    <x v="1"/>
    <x v="1"/>
    <x v="1"/>
    <x v="0"/>
    <x v="0"/>
  </r>
  <r>
    <s v="EC2080"/>
    <d v="2026-03-27T00:00:00"/>
    <x v="10"/>
    <x v="2"/>
    <n v="2"/>
    <n v="4500"/>
    <x v="41"/>
    <x v="2"/>
    <x v="1"/>
    <x v="1"/>
    <x v="0"/>
    <x v="3"/>
  </r>
  <r>
    <s v="EC2081"/>
    <d v="2026-02-02T00:00:00"/>
    <x v="6"/>
    <x v="1"/>
    <n v="2"/>
    <n v="9500"/>
    <x v="42"/>
    <x v="2"/>
    <x v="1"/>
    <x v="3"/>
    <x v="2"/>
    <x v="2"/>
  </r>
  <r>
    <s v="EC2082"/>
    <d v="2026-05-18T00:00:00"/>
    <x v="9"/>
    <x v="3"/>
    <n v="4"/>
    <n v="5500"/>
    <x v="30"/>
    <x v="1"/>
    <x v="1"/>
    <x v="2"/>
    <x v="1"/>
    <x v="1"/>
  </r>
  <r>
    <s v="EC2083"/>
    <d v="2026-04-23T00:00:00"/>
    <x v="13"/>
    <x v="0"/>
    <n v="2"/>
    <n v="18500"/>
    <x v="19"/>
    <x v="0"/>
    <x v="1"/>
    <x v="2"/>
    <x v="1"/>
    <x v="0"/>
  </r>
  <r>
    <s v="EC2084"/>
    <d v="2026-05-13T00:00:00"/>
    <x v="1"/>
    <x v="1"/>
    <n v="2"/>
    <n v="17500"/>
    <x v="21"/>
    <x v="1"/>
    <x v="1"/>
    <x v="0"/>
    <x v="2"/>
    <x v="1"/>
  </r>
  <r>
    <s v="EC2085"/>
    <d v="2026-04-10T00:00:00"/>
    <x v="0"/>
    <x v="0"/>
    <n v="2"/>
    <n v="7500"/>
    <x v="28"/>
    <x v="0"/>
    <x v="0"/>
    <x v="3"/>
    <x v="2"/>
    <x v="0"/>
  </r>
  <r>
    <s v="EC2086"/>
    <d v="2026-02-27T00:00:00"/>
    <x v="8"/>
    <x v="2"/>
    <n v="4"/>
    <n v="14500"/>
    <x v="12"/>
    <x v="3"/>
    <x v="1"/>
    <x v="1"/>
    <x v="0"/>
    <x v="2"/>
  </r>
  <r>
    <s v="EC2087"/>
    <d v="2026-02-14T00:00:00"/>
    <x v="6"/>
    <x v="1"/>
    <n v="2"/>
    <n v="9500"/>
    <x v="42"/>
    <x v="0"/>
    <x v="1"/>
    <x v="4"/>
    <x v="1"/>
    <x v="2"/>
  </r>
  <r>
    <s v="EC2088"/>
    <d v="2026-05-28T00:00:00"/>
    <x v="14"/>
    <x v="0"/>
    <n v="2"/>
    <n v="22000"/>
    <x v="43"/>
    <x v="1"/>
    <x v="1"/>
    <x v="2"/>
    <x v="2"/>
    <x v="1"/>
  </r>
  <r>
    <s v="EC2089"/>
    <d v="2026-03-05T00:00:00"/>
    <x v="11"/>
    <x v="4"/>
    <n v="4"/>
    <n v="6500"/>
    <x v="29"/>
    <x v="1"/>
    <x v="1"/>
    <x v="2"/>
    <x v="1"/>
    <x v="3"/>
  </r>
  <r>
    <s v="EC2090"/>
    <d v="2026-02-18T00:00:00"/>
    <x v="2"/>
    <x v="1"/>
    <n v="4"/>
    <n v="28000"/>
    <x v="8"/>
    <x v="0"/>
    <x v="1"/>
    <x v="2"/>
    <x v="2"/>
    <x v="2"/>
  </r>
  <r>
    <s v="EC2091"/>
    <d v="2026-02-26T00:00:00"/>
    <x v="7"/>
    <x v="1"/>
    <n v="4"/>
    <n v="8000"/>
    <x v="11"/>
    <x v="2"/>
    <x v="1"/>
    <x v="0"/>
    <x v="0"/>
    <x v="2"/>
  </r>
  <r>
    <s v="EC2092"/>
    <d v="2026-04-16T00:00:00"/>
    <x v="3"/>
    <x v="2"/>
    <n v="2"/>
    <n v="18000"/>
    <x v="18"/>
    <x v="0"/>
    <x v="1"/>
    <x v="1"/>
    <x v="2"/>
    <x v="0"/>
  </r>
  <r>
    <s v="EC2093"/>
    <d v="2026-05-21T00:00:00"/>
    <x v="4"/>
    <x v="3"/>
    <n v="1"/>
    <n v="2500"/>
    <x v="10"/>
    <x v="2"/>
    <x v="1"/>
    <x v="2"/>
    <x v="2"/>
    <x v="1"/>
  </r>
  <r>
    <s v="EC2094"/>
    <d v="2026-02-10T00:00:00"/>
    <x v="11"/>
    <x v="4"/>
    <n v="2"/>
    <n v="6500"/>
    <x v="22"/>
    <x v="3"/>
    <x v="1"/>
    <x v="0"/>
    <x v="0"/>
    <x v="2"/>
  </r>
  <r>
    <s v="EC2095"/>
    <d v="2026-05-30T00:00:00"/>
    <x v="2"/>
    <x v="1"/>
    <n v="1"/>
    <n v="28000"/>
    <x v="39"/>
    <x v="3"/>
    <x v="0"/>
    <x v="4"/>
    <x v="3"/>
    <x v="1"/>
  </r>
  <r>
    <s v="EC2096"/>
    <d v="2026-04-07T00:00:00"/>
    <x v="8"/>
    <x v="2"/>
    <n v="4"/>
    <n v="14500"/>
    <x v="12"/>
    <x v="3"/>
    <x v="0"/>
    <x v="2"/>
    <x v="0"/>
    <x v="0"/>
  </r>
  <r>
    <s v="EC2097"/>
    <d v="2026-03-19T00:00:00"/>
    <x v="14"/>
    <x v="0"/>
    <n v="3"/>
    <n v="22000"/>
    <x v="37"/>
    <x v="1"/>
    <x v="0"/>
    <x v="3"/>
    <x v="3"/>
    <x v="3"/>
  </r>
  <r>
    <s v="EC2098"/>
    <d v="2026-02-17T00:00:00"/>
    <x v="6"/>
    <x v="1"/>
    <n v="2"/>
    <n v="9500"/>
    <x v="42"/>
    <x v="0"/>
    <x v="0"/>
    <x v="2"/>
    <x v="2"/>
    <x v="2"/>
  </r>
  <r>
    <s v="EC2099"/>
    <d v="2026-02-18T00:00:00"/>
    <x v="7"/>
    <x v="1"/>
    <n v="2"/>
    <n v="8000"/>
    <x v="44"/>
    <x v="2"/>
    <x v="1"/>
    <x v="3"/>
    <x v="0"/>
    <x v="2"/>
  </r>
  <r>
    <s v="EC2100"/>
    <d v="2026-04-30T00:00:00"/>
    <x v="14"/>
    <x v="0"/>
    <n v="2"/>
    <n v="22000"/>
    <x v="43"/>
    <x v="0"/>
    <x v="0"/>
    <x v="3"/>
    <x v="0"/>
    <x v="0"/>
  </r>
  <r>
    <s v="EC2101"/>
    <d v="2026-05-28T00:00:00"/>
    <x v="2"/>
    <x v="1"/>
    <n v="4"/>
    <n v="28000"/>
    <x v="8"/>
    <x v="0"/>
    <x v="1"/>
    <x v="3"/>
    <x v="2"/>
    <x v="1"/>
  </r>
  <r>
    <s v="EC2102"/>
    <d v="2026-04-01T00:00:00"/>
    <x v="10"/>
    <x v="2"/>
    <n v="1"/>
    <n v="4500"/>
    <x v="16"/>
    <x v="1"/>
    <x v="0"/>
    <x v="2"/>
    <x v="3"/>
    <x v="0"/>
  </r>
  <r>
    <s v="EC2103"/>
    <d v="2026-04-02T00:00:00"/>
    <x v="6"/>
    <x v="1"/>
    <n v="1"/>
    <n v="9500"/>
    <x v="32"/>
    <x v="0"/>
    <x v="0"/>
    <x v="1"/>
    <x v="2"/>
    <x v="0"/>
  </r>
  <r>
    <s v="EC2104"/>
    <d v="2026-03-15T00:00:00"/>
    <x v="9"/>
    <x v="3"/>
    <n v="3"/>
    <n v="5500"/>
    <x v="14"/>
    <x v="0"/>
    <x v="0"/>
    <x v="0"/>
    <x v="3"/>
    <x v="3"/>
  </r>
  <r>
    <s v="EC2105"/>
    <d v="2026-03-27T00:00:00"/>
    <x v="7"/>
    <x v="1"/>
    <n v="1"/>
    <n v="8000"/>
    <x v="23"/>
    <x v="1"/>
    <x v="0"/>
    <x v="3"/>
    <x v="3"/>
    <x v="3"/>
  </r>
  <r>
    <s v="EC2106"/>
    <d v="2026-02-28T00:00:00"/>
    <x v="8"/>
    <x v="2"/>
    <n v="4"/>
    <n v="14500"/>
    <x v="12"/>
    <x v="2"/>
    <x v="0"/>
    <x v="0"/>
    <x v="0"/>
    <x v="2"/>
  </r>
  <r>
    <s v="EC2107"/>
    <d v="2026-03-31T00:00:00"/>
    <x v="6"/>
    <x v="1"/>
    <n v="4"/>
    <n v="9500"/>
    <x v="7"/>
    <x v="2"/>
    <x v="0"/>
    <x v="2"/>
    <x v="0"/>
    <x v="3"/>
  </r>
  <r>
    <s v="EC2108"/>
    <d v="2026-02-12T00:00:00"/>
    <x v="10"/>
    <x v="2"/>
    <n v="4"/>
    <n v="4500"/>
    <x v="24"/>
    <x v="3"/>
    <x v="0"/>
    <x v="1"/>
    <x v="1"/>
    <x v="2"/>
  </r>
  <r>
    <s v="EC2109"/>
    <d v="2026-02-15T00:00:00"/>
    <x v="11"/>
    <x v="4"/>
    <n v="2"/>
    <n v="6500"/>
    <x v="22"/>
    <x v="3"/>
    <x v="0"/>
    <x v="4"/>
    <x v="3"/>
    <x v="2"/>
  </r>
  <r>
    <s v="EC2110"/>
    <d v="2026-02-04T00:00:00"/>
    <x v="10"/>
    <x v="2"/>
    <n v="4"/>
    <n v="4500"/>
    <x v="24"/>
    <x v="3"/>
    <x v="1"/>
    <x v="2"/>
    <x v="2"/>
    <x v="2"/>
  </r>
  <r>
    <s v="EC2111"/>
    <d v="2026-04-03T00:00:00"/>
    <x v="12"/>
    <x v="4"/>
    <n v="1"/>
    <n v="12000"/>
    <x v="45"/>
    <x v="1"/>
    <x v="1"/>
    <x v="2"/>
    <x v="0"/>
    <x v="0"/>
  </r>
  <r>
    <s v="EC2112"/>
    <d v="2026-05-13T00:00:00"/>
    <x v="14"/>
    <x v="0"/>
    <n v="1"/>
    <n v="22000"/>
    <x v="30"/>
    <x v="3"/>
    <x v="0"/>
    <x v="2"/>
    <x v="0"/>
    <x v="1"/>
  </r>
  <r>
    <s v="EC2113"/>
    <d v="2026-05-31T00:00:00"/>
    <x v="12"/>
    <x v="4"/>
    <n v="1"/>
    <n v="12000"/>
    <x v="45"/>
    <x v="3"/>
    <x v="1"/>
    <x v="1"/>
    <x v="0"/>
    <x v="1"/>
  </r>
  <r>
    <s v="EC2114"/>
    <d v="2026-04-11T00:00:00"/>
    <x v="4"/>
    <x v="3"/>
    <n v="3"/>
    <n v="2500"/>
    <x v="27"/>
    <x v="0"/>
    <x v="1"/>
    <x v="2"/>
    <x v="1"/>
    <x v="0"/>
  </r>
  <r>
    <s v="EC2115"/>
    <d v="2026-02-09T00:00:00"/>
    <x v="0"/>
    <x v="0"/>
    <n v="1"/>
    <n v="7500"/>
    <x v="27"/>
    <x v="1"/>
    <x v="0"/>
    <x v="4"/>
    <x v="0"/>
    <x v="2"/>
  </r>
  <r>
    <s v="EC2116"/>
    <d v="2026-04-11T00:00:00"/>
    <x v="9"/>
    <x v="3"/>
    <n v="4"/>
    <n v="5500"/>
    <x v="30"/>
    <x v="0"/>
    <x v="0"/>
    <x v="2"/>
    <x v="3"/>
    <x v="0"/>
  </r>
  <r>
    <s v="EC2117"/>
    <d v="2026-03-23T00:00:00"/>
    <x v="13"/>
    <x v="0"/>
    <n v="1"/>
    <n v="18500"/>
    <x v="46"/>
    <x v="0"/>
    <x v="0"/>
    <x v="0"/>
    <x v="2"/>
    <x v="3"/>
  </r>
  <r>
    <s v="EC2118"/>
    <d v="2026-05-07T00:00:00"/>
    <x v="13"/>
    <x v="0"/>
    <n v="1"/>
    <n v="18500"/>
    <x v="46"/>
    <x v="0"/>
    <x v="0"/>
    <x v="2"/>
    <x v="3"/>
    <x v="1"/>
  </r>
  <r>
    <s v="EC2119"/>
    <d v="2026-03-03T00:00:00"/>
    <x v="3"/>
    <x v="2"/>
    <n v="4"/>
    <n v="18000"/>
    <x v="3"/>
    <x v="2"/>
    <x v="1"/>
    <x v="3"/>
    <x v="0"/>
    <x v="3"/>
  </r>
  <r>
    <s v="EC2120"/>
    <d v="2026-03-26T00:00:00"/>
    <x v="8"/>
    <x v="2"/>
    <n v="3"/>
    <n v="14500"/>
    <x v="47"/>
    <x v="0"/>
    <x v="1"/>
    <x v="3"/>
    <x v="3"/>
    <x v="3"/>
  </r>
  <r>
    <s v="EC2121"/>
    <d v="2026-05-10T00:00:00"/>
    <x v="4"/>
    <x v="3"/>
    <n v="2"/>
    <n v="2500"/>
    <x v="20"/>
    <x v="0"/>
    <x v="1"/>
    <x v="0"/>
    <x v="0"/>
    <x v="1"/>
  </r>
  <r>
    <s v="EC2122"/>
    <d v="2026-04-05T00:00:00"/>
    <x v="4"/>
    <x v="3"/>
    <n v="1"/>
    <n v="2500"/>
    <x v="10"/>
    <x v="3"/>
    <x v="1"/>
    <x v="1"/>
    <x v="0"/>
    <x v="0"/>
  </r>
  <r>
    <s v="EC2123"/>
    <d v="2026-03-10T00:00:00"/>
    <x v="1"/>
    <x v="1"/>
    <n v="2"/>
    <n v="17500"/>
    <x v="21"/>
    <x v="3"/>
    <x v="1"/>
    <x v="2"/>
    <x v="0"/>
    <x v="3"/>
  </r>
  <r>
    <s v="EC2124"/>
    <d v="2026-03-18T00:00:00"/>
    <x v="7"/>
    <x v="1"/>
    <n v="1"/>
    <n v="8000"/>
    <x v="23"/>
    <x v="3"/>
    <x v="0"/>
    <x v="0"/>
    <x v="2"/>
    <x v="3"/>
  </r>
  <r>
    <s v="EC2125"/>
    <d v="2026-04-17T00:00:00"/>
    <x v="1"/>
    <x v="1"/>
    <n v="2"/>
    <n v="17500"/>
    <x v="21"/>
    <x v="0"/>
    <x v="0"/>
    <x v="4"/>
    <x v="0"/>
    <x v="0"/>
  </r>
  <r>
    <s v="EC2126"/>
    <d v="2026-05-14T00:00:00"/>
    <x v="1"/>
    <x v="1"/>
    <n v="1"/>
    <n v="17500"/>
    <x v="35"/>
    <x v="0"/>
    <x v="1"/>
    <x v="4"/>
    <x v="1"/>
    <x v="1"/>
  </r>
  <r>
    <s v="EC2127"/>
    <d v="2026-02-07T00:00:00"/>
    <x v="8"/>
    <x v="2"/>
    <n v="2"/>
    <n v="14500"/>
    <x v="38"/>
    <x v="2"/>
    <x v="0"/>
    <x v="0"/>
    <x v="2"/>
    <x v="2"/>
  </r>
  <r>
    <s v="EC2128"/>
    <d v="2026-02-11T00:00:00"/>
    <x v="10"/>
    <x v="2"/>
    <n v="3"/>
    <n v="4500"/>
    <x v="48"/>
    <x v="2"/>
    <x v="0"/>
    <x v="1"/>
    <x v="3"/>
    <x v="2"/>
  </r>
  <r>
    <s v="EC2129"/>
    <d v="2026-05-27T00:00:00"/>
    <x v="6"/>
    <x v="1"/>
    <n v="1"/>
    <n v="9500"/>
    <x v="32"/>
    <x v="1"/>
    <x v="0"/>
    <x v="2"/>
    <x v="0"/>
    <x v="1"/>
  </r>
  <r>
    <s v="EC2130"/>
    <d v="2026-05-31T00:00:00"/>
    <x v="7"/>
    <x v="1"/>
    <n v="1"/>
    <n v="8000"/>
    <x v="23"/>
    <x v="3"/>
    <x v="1"/>
    <x v="1"/>
    <x v="2"/>
    <x v="1"/>
  </r>
  <r>
    <s v="EC2131"/>
    <d v="2026-04-25T00:00:00"/>
    <x v="0"/>
    <x v="0"/>
    <n v="2"/>
    <n v="7500"/>
    <x v="28"/>
    <x v="0"/>
    <x v="1"/>
    <x v="3"/>
    <x v="1"/>
    <x v="0"/>
  </r>
  <r>
    <s v="EC2132"/>
    <d v="2026-04-02T00:00:00"/>
    <x v="3"/>
    <x v="2"/>
    <n v="1"/>
    <n v="18000"/>
    <x v="24"/>
    <x v="2"/>
    <x v="0"/>
    <x v="0"/>
    <x v="3"/>
    <x v="0"/>
  </r>
  <r>
    <s v="EC2133"/>
    <d v="2026-04-05T00:00:00"/>
    <x v="5"/>
    <x v="3"/>
    <n v="2"/>
    <n v="1800"/>
    <x v="49"/>
    <x v="0"/>
    <x v="1"/>
    <x v="3"/>
    <x v="0"/>
    <x v="0"/>
  </r>
  <r>
    <s v="EC2134"/>
    <d v="2026-03-04T00:00:00"/>
    <x v="4"/>
    <x v="3"/>
    <n v="1"/>
    <n v="2500"/>
    <x v="10"/>
    <x v="0"/>
    <x v="0"/>
    <x v="4"/>
    <x v="0"/>
    <x v="3"/>
  </r>
  <r>
    <s v="EC2135"/>
    <d v="2026-03-29T00:00:00"/>
    <x v="5"/>
    <x v="3"/>
    <n v="1"/>
    <n v="1800"/>
    <x v="6"/>
    <x v="3"/>
    <x v="0"/>
    <x v="3"/>
    <x v="3"/>
    <x v="3"/>
  </r>
  <r>
    <s v="EC2136"/>
    <d v="2026-04-06T00:00:00"/>
    <x v="5"/>
    <x v="3"/>
    <n v="2"/>
    <n v="1800"/>
    <x v="49"/>
    <x v="2"/>
    <x v="1"/>
    <x v="2"/>
    <x v="3"/>
    <x v="0"/>
  </r>
  <r>
    <s v="EC2137"/>
    <d v="2026-02-03T00:00:00"/>
    <x v="4"/>
    <x v="3"/>
    <n v="1"/>
    <n v="2500"/>
    <x v="10"/>
    <x v="2"/>
    <x v="0"/>
    <x v="3"/>
    <x v="3"/>
    <x v="2"/>
  </r>
  <r>
    <s v="EC2138"/>
    <d v="2026-05-23T00:00:00"/>
    <x v="7"/>
    <x v="1"/>
    <n v="4"/>
    <n v="8000"/>
    <x v="11"/>
    <x v="3"/>
    <x v="1"/>
    <x v="3"/>
    <x v="0"/>
    <x v="1"/>
  </r>
  <r>
    <s v="EC2139"/>
    <d v="2026-02-18T00:00:00"/>
    <x v="5"/>
    <x v="3"/>
    <n v="1"/>
    <n v="1800"/>
    <x v="6"/>
    <x v="0"/>
    <x v="1"/>
    <x v="1"/>
    <x v="0"/>
    <x v="2"/>
  </r>
  <r>
    <s v="EC2140"/>
    <d v="2026-04-27T00:00:00"/>
    <x v="2"/>
    <x v="1"/>
    <n v="4"/>
    <n v="28000"/>
    <x v="8"/>
    <x v="2"/>
    <x v="1"/>
    <x v="1"/>
    <x v="1"/>
    <x v="0"/>
  </r>
  <r>
    <s v="EC2141"/>
    <d v="2026-03-03T00:00:00"/>
    <x v="2"/>
    <x v="1"/>
    <n v="3"/>
    <n v="28000"/>
    <x v="2"/>
    <x v="0"/>
    <x v="1"/>
    <x v="3"/>
    <x v="2"/>
    <x v="3"/>
  </r>
  <r>
    <s v="EC2142"/>
    <d v="2026-03-12T00:00:00"/>
    <x v="9"/>
    <x v="3"/>
    <n v="2"/>
    <n v="5500"/>
    <x v="50"/>
    <x v="0"/>
    <x v="0"/>
    <x v="2"/>
    <x v="3"/>
    <x v="3"/>
  </r>
  <r>
    <s v="EC2143"/>
    <d v="2026-04-17T00:00:00"/>
    <x v="6"/>
    <x v="1"/>
    <n v="4"/>
    <n v="9500"/>
    <x v="7"/>
    <x v="0"/>
    <x v="0"/>
    <x v="4"/>
    <x v="3"/>
    <x v="0"/>
  </r>
  <r>
    <s v="EC2144"/>
    <d v="2026-02-15T00:00:00"/>
    <x v="9"/>
    <x v="3"/>
    <n v="4"/>
    <n v="5500"/>
    <x v="30"/>
    <x v="0"/>
    <x v="0"/>
    <x v="1"/>
    <x v="2"/>
    <x v="2"/>
  </r>
  <r>
    <s v="EC2145"/>
    <d v="2026-03-05T00:00:00"/>
    <x v="14"/>
    <x v="0"/>
    <n v="4"/>
    <n v="22000"/>
    <x v="51"/>
    <x v="0"/>
    <x v="1"/>
    <x v="0"/>
    <x v="2"/>
    <x v="3"/>
  </r>
  <r>
    <s v="EC2146"/>
    <d v="2026-04-23T00:00:00"/>
    <x v="14"/>
    <x v="0"/>
    <n v="4"/>
    <n v="22000"/>
    <x v="51"/>
    <x v="0"/>
    <x v="1"/>
    <x v="0"/>
    <x v="1"/>
    <x v="0"/>
  </r>
  <r>
    <s v="EC2147"/>
    <d v="2026-05-18T00:00:00"/>
    <x v="0"/>
    <x v="0"/>
    <n v="2"/>
    <n v="7500"/>
    <x v="28"/>
    <x v="2"/>
    <x v="1"/>
    <x v="1"/>
    <x v="0"/>
    <x v="1"/>
  </r>
  <r>
    <s v="EC2148"/>
    <d v="2026-05-10T00:00:00"/>
    <x v="3"/>
    <x v="2"/>
    <n v="4"/>
    <n v="18000"/>
    <x v="3"/>
    <x v="1"/>
    <x v="1"/>
    <x v="2"/>
    <x v="0"/>
    <x v="1"/>
  </r>
  <r>
    <s v="EC2149"/>
    <d v="2026-04-02T00:00:00"/>
    <x v="6"/>
    <x v="1"/>
    <n v="4"/>
    <n v="9500"/>
    <x v="7"/>
    <x v="2"/>
    <x v="1"/>
    <x v="3"/>
    <x v="1"/>
    <x v="0"/>
  </r>
  <r>
    <s v="EC2150"/>
    <d v="2026-02-27T00:00:00"/>
    <x v="9"/>
    <x v="3"/>
    <n v="1"/>
    <n v="5500"/>
    <x v="31"/>
    <x v="3"/>
    <x v="1"/>
    <x v="4"/>
    <x v="3"/>
    <x v="2"/>
  </r>
  <r>
    <m/>
    <d v="2026-03-01T00:00:00"/>
    <x v="15"/>
    <x v="5"/>
    <m/>
    <m/>
    <x v="52"/>
    <x v="4"/>
    <x v="2"/>
    <x v="5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O8:P24" firstHeaderRow="1" firstDataRow="1" firstDataCol="1"/>
  <pivotFields count="12">
    <pivotField showAll="0"/>
    <pivotField numFmtId="14" showAll="0"/>
    <pivotField axis="axisRow" showAll="0">
      <items count="17">
        <item x="3"/>
        <item x="12"/>
        <item x="5"/>
        <item x="1"/>
        <item x="8"/>
        <item x="4"/>
        <item x="10"/>
        <item x="0"/>
        <item x="9"/>
        <item x="14"/>
        <item x="2"/>
        <item x="7"/>
        <item x="6"/>
        <item x="11"/>
        <item x="13"/>
        <item h="1" x="15"/>
        <item t="default"/>
      </items>
    </pivotField>
    <pivotField showAll="0"/>
    <pivotField showAll="0"/>
    <pivotField showAll="0"/>
    <pivotField dataField="1" showAll="0">
      <items count="54">
        <item x="6"/>
        <item x="10"/>
        <item x="49"/>
        <item x="16"/>
        <item x="20"/>
        <item x="33"/>
        <item x="31"/>
        <item x="17"/>
        <item x="5"/>
        <item x="27"/>
        <item x="23"/>
        <item x="41"/>
        <item x="32"/>
        <item x="4"/>
        <item x="50"/>
        <item x="45"/>
        <item x="22"/>
        <item x="48"/>
        <item x="34"/>
        <item x="28"/>
        <item x="44"/>
        <item x="14"/>
        <item x="35"/>
        <item x="24"/>
        <item x="46"/>
        <item x="42"/>
        <item x="30"/>
        <item x="0"/>
        <item x="36"/>
        <item x="29"/>
        <item x="39"/>
        <item x="38"/>
        <item x="15"/>
        <item x="11"/>
        <item x="21"/>
        <item x="18"/>
        <item x="19"/>
        <item x="7"/>
        <item x="47"/>
        <item x="43"/>
        <item x="40"/>
        <item x="13"/>
        <item x="9"/>
        <item x="25"/>
        <item x="26"/>
        <item x="12"/>
        <item x="37"/>
        <item x="1"/>
        <item x="3"/>
        <item x="2"/>
        <item x="51"/>
        <item x="8"/>
        <item x="52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 Amount" fld="6" baseField="0" baseItem="0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R1:S6" firstHeaderRow="1" firstDataRow="1" firstDataCol="1"/>
  <pivotFields count="12">
    <pivotField showAll="0"/>
    <pivotField numFmtId="14" showAll="0"/>
    <pivotField showAll="0"/>
    <pivotField showAll="0">
      <items count="7">
        <item x="2"/>
        <item x="0"/>
        <item x="1"/>
        <item x="4"/>
        <item x="3"/>
        <item x="5"/>
        <item t="default"/>
      </items>
    </pivotField>
    <pivotField showAll="0"/>
    <pivotField showAll="0"/>
    <pivotField dataField="1" showAll="0">
      <items count="54">
        <item x="6"/>
        <item x="10"/>
        <item x="49"/>
        <item x="16"/>
        <item x="20"/>
        <item x="33"/>
        <item x="31"/>
        <item x="17"/>
        <item x="5"/>
        <item x="27"/>
        <item x="23"/>
        <item x="41"/>
        <item x="32"/>
        <item x="4"/>
        <item x="50"/>
        <item x="45"/>
        <item x="22"/>
        <item x="48"/>
        <item x="34"/>
        <item x="28"/>
        <item x="44"/>
        <item x="14"/>
        <item x="35"/>
        <item x="24"/>
        <item x="46"/>
        <item x="42"/>
        <item x="30"/>
        <item x="0"/>
        <item x="36"/>
        <item x="29"/>
        <item x="39"/>
        <item x="38"/>
        <item x="15"/>
        <item x="11"/>
        <item x="21"/>
        <item x="18"/>
        <item x="19"/>
        <item x="7"/>
        <item x="47"/>
        <item x="43"/>
        <item x="40"/>
        <item x="13"/>
        <item x="9"/>
        <item x="25"/>
        <item x="26"/>
        <item x="12"/>
        <item x="37"/>
        <item x="1"/>
        <item x="3"/>
        <item x="2"/>
        <item x="51"/>
        <item x="8"/>
        <item x="52"/>
        <item t="default"/>
      </items>
    </pivotField>
    <pivotField showAll="0"/>
    <pivotField showAll="0"/>
    <pivotField showAll="0">
      <items count="7">
        <item x="2"/>
        <item x="0"/>
        <item x="3"/>
        <item x="1"/>
        <item x="4"/>
        <item x="5"/>
        <item t="default"/>
      </items>
    </pivotField>
    <pivotField showAll="0"/>
    <pivotField axis="axisRow" showAll="0">
      <items count="6">
        <item x="2"/>
        <item x="3"/>
        <item x="0"/>
        <item x="1"/>
        <item h="1"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6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ustomer Type">
  <location ref="E34:F37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dataField="1" showAll="0">
      <items count="54">
        <item x="6"/>
        <item x="10"/>
        <item x="49"/>
        <item x="16"/>
        <item x="20"/>
        <item x="33"/>
        <item x="31"/>
        <item x="17"/>
        <item x="5"/>
        <item x="27"/>
        <item x="23"/>
        <item x="41"/>
        <item x="32"/>
        <item x="4"/>
        <item x="50"/>
        <item x="45"/>
        <item x="22"/>
        <item x="48"/>
        <item x="34"/>
        <item x="28"/>
        <item x="44"/>
        <item x="14"/>
        <item x="35"/>
        <item x="24"/>
        <item x="46"/>
        <item x="42"/>
        <item x="30"/>
        <item x="0"/>
        <item x="36"/>
        <item x="29"/>
        <item x="39"/>
        <item x="38"/>
        <item x="15"/>
        <item x="11"/>
        <item x="21"/>
        <item x="18"/>
        <item x="19"/>
        <item x="7"/>
        <item x="47"/>
        <item x="43"/>
        <item x="40"/>
        <item x="13"/>
        <item x="9"/>
        <item x="25"/>
        <item x="26"/>
        <item x="12"/>
        <item x="37"/>
        <item x="1"/>
        <item x="3"/>
        <item x="2"/>
        <item x="51"/>
        <item x="8"/>
        <item x="52"/>
        <item t="default"/>
      </items>
    </pivotField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Sales Amount" fld="6" baseField="0" baseItem="0"/>
  </dataFields>
  <formats count="6">
    <format dxfId="5">
      <pivotArea field="8" type="button" dataOnly="0" labelOnly="1" outline="0" axis="axisRow" fieldPosition="0"/>
    </format>
    <format dxfId="4">
      <pivotArea type="all" dataOnly="0" outline="0" fieldPosition="0"/>
    </format>
    <format dxfId="3">
      <pivotArea dataOnly="0" fieldPosition="0">
        <references count="1">
          <reference field="8" count="1">
            <x v="1"/>
          </reference>
        </references>
      </pivotArea>
    </format>
    <format dxfId="2">
      <pivotArea field="8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grandRow="1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Months">
  <location ref="E13:F18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dataField="1" showAll="0">
      <items count="54">
        <item x="6"/>
        <item x="10"/>
        <item x="49"/>
        <item x="16"/>
        <item x="20"/>
        <item x="33"/>
        <item x="31"/>
        <item x="17"/>
        <item x="5"/>
        <item x="27"/>
        <item x="23"/>
        <item x="41"/>
        <item x="32"/>
        <item x="4"/>
        <item x="50"/>
        <item x="45"/>
        <item x="22"/>
        <item x="48"/>
        <item x="34"/>
        <item x="28"/>
        <item x="44"/>
        <item x="14"/>
        <item x="35"/>
        <item x="24"/>
        <item x="46"/>
        <item x="42"/>
        <item x="30"/>
        <item x="0"/>
        <item x="36"/>
        <item x="29"/>
        <item x="39"/>
        <item x="38"/>
        <item x="15"/>
        <item x="11"/>
        <item x="21"/>
        <item x="18"/>
        <item x="19"/>
        <item x="7"/>
        <item x="47"/>
        <item x="43"/>
        <item x="40"/>
        <item x="13"/>
        <item x="9"/>
        <item x="25"/>
        <item x="26"/>
        <item x="12"/>
        <item x="37"/>
        <item x="1"/>
        <item x="3"/>
        <item x="2"/>
        <item x="51"/>
        <item x="8"/>
        <item x="52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6" baseField="0" baseItem="0"/>
  </dataFields>
  <formats count="6">
    <format dxfId="11">
      <pivotArea type="all" dataOnly="0" outline="0" fieldPosition="0"/>
    </format>
    <format dxfId="10">
      <pivotArea dataOnly="0" fieldPosition="0">
        <references count="1">
          <reference field="11" count="1">
            <x v="1"/>
          </reference>
        </references>
      </pivotArea>
    </format>
    <format dxfId="9">
      <pivotArea dataOnly="0" fieldPosition="0">
        <references count="1">
          <reference field="11" count="1">
            <x v="3"/>
          </reference>
        </references>
      </pivotArea>
    </format>
    <format dxfId="8">
      <pivotArea dataOnly="0" grandRow="1" fieldPosition="0"/>
    </format>
    <format dxfId="7">
      <pivotArea field="11" type="button" dataOnly="0" labelOnly="1" outline="0" axis="axisRow" fieldPosition="0"/>
    </format>
    <format dxfId="6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Sales Channel">
  <location ref="E24:F29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dataField="1" showAll="0">
      <items count="54">
        <item x="6"/>
        <item x="10"/>
        <item x="49"/>
        <item x="16"/>
        <item x="20"/>
        <item x="33"/>
        <item x="31"/>
        <item x="17"/>
        <item x="5"/>
        <item x="27"/>
        <item x="23"/>
        <item x="41"/>
        <item x="32"/>
        <item x="4"/>
        <item x="50"/>
        <item x="45"/>
        <item x="22"/>
        <item x="48"/>
        <item x="34"/>
        <item x="28"/>
        <item x="44"/>
        <item x="14"/>
        <item x="35"/>
        <item x="24"/>
        <item x="46"/>
        <item x="42"/>
        <item x="30"/>
        <item x="0"/>
        <item x="36"/>
        <item x="29"/>
        <item x="39"/>
        <item x="38"/>
        <item x="15"/>
        <item x="11"/>
        <item x="21"/>
        <item x="18"/>
        <item x="19"/>
        <item x="7"/>
        <item x="47"/>
        <item x="43"/>
        <item x="40"/>
        <item x="13"/>
        <item x="9"/>
        <item x="25"/>
        <item x="26"/>
        <item x="12"/>
        <item x="37"/>
        <item x="1"/>
        <item x="3"/>
        <item x="2"/>
        <item x="51"/>
        <item x="8"/>
        <item x="52"/>
        <item t="default"/>
      </items>
    </pivotField>
    <pivotField showAll="0"/>
    <pivotField showAll="0"/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6" baseField="0" baseItem="0"/>
  </dataFields>
  <formats count="6">
    <format dxfId="17">
      <pivotArea type="all" dataOnly="0" outline="0" fieldPosition="0"/>
    </format>
    <format dxfId="16">
      <pivotArea dataOnly="0" fieldPosition="0">
        <references count="1">
          <reference field="10" count="1">
            <x v="1"/>
          </reference>
        </references>
      </pivotArea>
    </format>
    <format dxfId="15">
      <pivotArea dataOnly="0" fieldPosition="0">
        <references count="1">
          <reference field="10" count="1">
            <x v="3"/>
          </reference>
        </references>
      </pivotArea>
    </format>
    <format dxfId="14">
      <pivotArea field="10" type="button" dataOnly="0" labelOnly="1" outline="0" axis="axisRow" fieldPosition="0"/>
    </format>
    <format dxfId="13">
      <pivotArea dataOnly="0" labelOnly="1" outline="0" axis="axisValues" fieldPosition="0"/>
    </format>
    <format dxfId="12">
      <pivotArea dataOnly="0" grandRow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s">
  <location ref="A4:B20" firstHeaderRow="1" firstDataRow="1" firstDataCol="1"/>
  <pivotFields count="12">
    <pivotField showAll="0"/>
    <pivotField numFmtId="14" showAll="0"/>
    <pivotField axis="axisRow" showAll="0">
      <items count="17">
        <item x="3"/>
        <item x="12"/>
        <item x="5"/>
        <item x="1"/>
        <item x="8"/>
        <item x="4"/>
        <item x="10"/>
        <item x="0"/>
        <item x="9"/>
        <item x="14"/>
        <item x="2"/>
        <item x="7"/>
        <item x="6"/>
        <item x="11"/>
        <item x="13"/>
        <item h="1" x="15"/>
        <item t="default"/>
      </items>
    </pivotField>
    <pivotField showAll="0"/>
    <pivotField showAll="0"/>
    <pivotField showAll="0"/>
    <pivotField dataField="1" showAll="0">
      <items count="54">
        <item x="6"/>
        <item x="10"/>
        <item x="49"/>
        <item x="16"/>
        <item x="20"/>
        <item x="33"/>
        <item x="31"/>
        <item x="17"/>
        <item x="5"/>
        <item x="27"/>
        <item x="23"/>
        <item x="41"/>
        <item x="32"/>
        <item x="4"/>
        <item x="50"/>
        <item x="45"/>
        <item x="22"/>
        <item x="48"/>
        <item x="34"/>
        <item x="28"/>
        <item x="44"/>
        <item x="14"/>
        <item x="35"/>
        <item x="24"/>
        <item x="46"/>
        <item x="42"/>
        <item x="30"/>
        <item x="0"/>
        <item x="36"/>
        <item x="29"/>
        <item x="39"/>
        <item x="38"/>
        <item x="15"/>
        <item x="11"/>
        <item x="21"/>
        <item x="18"/>
        <item x="19"/>
        <item x="7"/>
        <item x="47"/>
        <item x="43"/>
        <item x="40"/>
        <item x="13"/>
        <item x="9"/>
        <item x="25"/>
        <item x="26"/>
        <item x="12"/>
        <item x="37"/>
        <item x="1"/>
        <item x="3"/>
        <item x="2"/>
        <item x="51"/>
        <item x="8"/>
        <item x="52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 Amount" fld="6" baseField="0" baseItem="0"/>
  </dataFields>
  <formats count="13">
    <format dxfId="30">
      <pivotArea type="all" dataOnly="0" outline="0" fieldPosition="0"/>
    </format>
    <format dxfId="29">
      <pivotArea dataOnly="0" fieldPosition="0">
        <references count="1">
          <reference field="2" count="1">
            <x v="1"/>
          </reference>
        </references>
      </pivotArea>
    </format>
    <format dxfId="28">
      <pivotArea dataOnly="0" fieldPosition="0">
        <references count="1">
          <reference field="2" count="1">
            <x v="3"/>
          </reference>
        </references>
      </pivotArea>
    </format>
    <format dxfId="27">
      <pivotArea dataOnly="0" fieldPosition="0">
        <references count="1">
          <reference field="2" count="1">
            <x v="5"/>
          </reference>
        </references>
      </pivotArea>
    </format>
    <format dxfId="26">
      <pivotArea dataOnly="0" fieldPosition="0">
        <references count="1">
          <reference field="2" count="1">
            <x v="7"/>
          </reference>
        </references>
      </pivotArea>
    </format>
    <format dxfId="25">
      <pivotArea dataOnly="0" fieldPosition="0">
        <references count="1">
          <reference field="2" count="1">
            <x v="9"/>
          </reference>
        </references>
      </pivotArea>
    </format>
    <format dxfId="24">
      <pivotArea dataOnly="0" fieldPosition="0">
        <references count="1">
          <reference field="2" count="1">
            <x v="11"/>
          </reference>
        </references>
      </pivotArea>
    </format>
    <format dxfId="23">
      <pivotArea dataOnly="0" fieldPosition="0">
        <references count="1">
          <reference field="2" count="1">
            <x v="13"/>
          </reference>
        </references>
      </pivotArea>
    </format>
    <format dxfId="22">
      <pivotArea dataOnly="0" labelOnly="1" grandRow="1" outline="0" fieldPosition="0"/>
    </format>
    <format dxfId="21">
      <pivotArea grandRow="1" outline="0" collapsedLevelsAreSubtotals="1" fieldPosition="0"/>
    </format>
    <format dxfId="20">
      <pivotArea dataOnly="0" grandRow="1" fieldPosition="0"/>
    </format>
    <format dxfId="19">
      <pivotArea field="2" type="button" dataOnly="0" labelOnly="1" outline="0" axis="axisRow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Payment Method">
  <location ref="E4:F9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dataField="1" showAll="0">
      <items count="54">
        <item x="6"/>
        <item x="10"/>
        <item x="49"/>
        <item x="16"/>
        <item x="20"/>
        <item x="33"/>
        <item x="31"/>
        <item x="17"/>
        <item x="5"/>
        <item x="27"/>
        <item x="23"/>
        <item x="41"/>
        <item x="32"/>
        <item x="4"/>
        <item x="50"/>
        <item x="45"/>
        <item x="22"/>
        <item x="48"/>
        <item x="34"/>
        <item x="28"/>
        <item x="44"/>
        <item x="14"/>
        <item x="35"/>
        <item x="24"/>
        <item x="46"/>
        <item x="42"/>
        <item x="30"/>
        <item x="0"/>
        <item x="36"/>
        <item x="29"/>
        <item x="39"/>
        <item x="38"/>
        <item x="15"/>
        <item x="11"/>
        <item x="21"/>
        <item x="18"/>
        <item x="19"/>
        <item x="7"/>
        <item x="47"/>
        <item x="43"/>
        <item x="40"/>
        <item x="13"/>
        <item x="9"/>
        <item x="25"/>
        <item x="26"/>
        <item x="12"/>
        <item x="37"/>
        <item x="1"/>
        <item x="3"/>
        <item x="2"/>
        <item x="51"/>
        <item x="8"/>
        <item x="52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>
      <items count="6">
        <item x="3"/>
        <item x="0"/>
        <item x="1"/>
        <item x="2"/>
        <item h="1" x="4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6" baseField="0" baseItem="0"/>
  </dataFields>
  <formats count="7">
    <format dxfId="37">
      <pivotArea type="all" dataOnly="0" outline="0" fieldPosition="0"/>
    </format>
    <format dxfId="36">
      <pivotArea dataOnly="0" fieldPosition="0">
        <references count="1">
          <reference field="7" count="1">
            <x v="0"/>
          </reference>
        </references>
      </pivotArea>
    </format>
    <format dxfId="35">
      <pivotArea dataOnly="0" fieldPosition="0">
        <references count="1">
          <reference field="7" count="1">
            <x v="1"/>
          </reference>
        </references>
      </pivotArea>
    </format>
    <format dxfId="34">
      <pivotArea dataOnly="0" fieldPosition="0">
        <references count="1">
          <reference field="7" count="1">
            <x v="3"/>
          </reference>
        </references>
      </pivotArea>
    </format>
    <format dxfId="33">
      <pivotArea field="7" type="button" dataOnly="0" labelOnly="1" outline="0" axis="axisRow" fieldPosition="0"/>
    </format>
    <format dxfId="32">
      <pivotArea dataOnly="0" labelOnly="1" outline="0" axis="axisValues" fieldPosition="0"/>
    </format>
    <format dxfId="31">
      <pivotArea dataOnly="0" grandRow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Categoreis">
  <location ref="A24:B30" firstHeaderRow="1" firstDataRow="1" firstDataCol="1"/>
  <pivotFields count="12">
    <pivotField showAll="0"/>
    <pivotField numFmtId="14" showAll="0"/>
    <pivotField showAll="0"/>
    <pivotField axis="axisRow" showAll="0">
      <items count="7">
        <item x="2"/>
        <item x="0"/>
        <item x="1"/>
        <item x="4"/>
        <item x="3"/>
        <item h="1" x="5"/>
        <item t="default"/>
      </items>
    </pivotField>
    <pivotField showAll="0"/>
    <pivotField showAll="0"/>
    <pivotField dataField="1" showAll="0">
      <items count="54">
        <item x="6"/>
        <item x="10"/>
        <item x="49"/>
        <item x="16"/>
        <item x="20"/>
        <item x="33"/>
        <item x="31"/>
        <item x="17"/>
        <item x="5"/>
        <item x="27"/>
        <item x="23"/>
        <item x="41"/>
        <item x="32"/>
        <item x="4"/>
        <item x="50"/>
        <item x="45"/>
        <item x="22"/>
        <item x="48"/>
        <item x="34"/>
        <item x="28"/>
        <item x="44"/>
        <item x="14"/>
        <item x="35"/>
        <item x="24"/>
        <item x="46"/>
        <item x="42"/>
        <item x="30"/>
        <item x="0"/>
        <item x="36"/>
        <item x="29"/>
        <item x="39"/>
        <item x="38"/>
        <item x="15"/>
        <item x="11"/>
        <item x="21"/>
        <item x="18"/>
        <item x="19"/>
        <item x="7"/>
        <item x="47"/>
        <item x="43"/>
        <item x="40"/>
        <item x="13"/>
        <item x="9"/>
        <item x="25"/>
        <item x="26"/>
        <item x="12"/>
        <item x="37"/>
        <item x="1"/>
        <item x="3"/>
        <item x="2"/>
        <item x="51"/>
        <item x="8"/>
        <item x="52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6" baseField="0" baseItem="0"/>
  </dataFields>
  <formats count="6">
    <format dxfId="43">
      <pivotArea type="all" dataOnly="0" outline="0" fieldPosition="0"/>
    </format>
    <format dxfId="42">
      <pivotArea dataOnly="0" fieldPosition="0">
        <references count="1">
          <reference field="3" count="1">
            <x v="1"/>
          </reference>
        </references>
      </pivotArea>
    </format>
    <format dxfId="41">
      <pivotArea dataOnly="0" fieldPosition="0">
        <references count="1">
          <reference field="3" count="1">
            <x v="3"/>
          </reference>
        </references>
      </pivotArea>
    </format>
    <format dxfId="40">
      <pivotArea dataOnly="0" grandRow="1" fieldPosition="0"/>
    </format>
    <format dxfId="39">
      <pivotArea field="3" type="button" dataOnly="0" labelOnly="1" outline="0" axis="axisRow" fieldPosition="0"/>
    </format>
    <format dxfId="38">
      <pivotArea dataOnly="0" labelOnly="1" outline="0" axis="axisValues" fieldPosition="0"/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City">
  <location ref="A34:B40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dataField="1" showAll="0">
      <items count="54">
        <item x="6"/>
        <item x="10"/>
        <item x="49"/>
        <item x="16"/>
        <item x="20"/>
        <item x="33"/>
        <item x="31"/>
        <item x="17"/>
        <item x="5"/>
        <item x="27"/>
        <item x="23"/>
        <item x="41"/>
        <item x="32"/>
        <item x="4"/>
        <item x="50"/>
        <item x="45"/>
        <item x="22"/>
        <item x="48"/>
        <item x="34"/>
        <item x="28"/>
        <item x="44"/>
        <item x="14"/>
        <item x="35"/>
        <item x="24"/>
        <item x="46"/>
        <item x="42"/>
        <item x="30"/>
        <item x="0"/>
        <item x="36"/>
        <item x="29"/>
        <item x="39"/>
        <item x="38"/>
        <item x="15"/>
        <item x="11"/>
        <item x="21"/>
        <item x="18"/>
        <item x="19"/>
        <item x="7"/>
        <item x="47"/>
        <item x="43"/>
        <item x="40"/>
        <item x="13"/>
        <item x="9"/>
        <item x="25"/>
        <item x="26"/>
        <item x="12"/>
        <item x="37"/>
        <item x="1"/>
        <item x="3"/>
        <item x="2"/>
        <item x="51"/>
        <item x="8"/>
        <item x="52"/>
        <item t="default"/>
      </items>
    </pivotField>
    <pivotField showAll="0"/>
    <pivotField showAll="0"/>
    <pivotField axis="axisRow" showAll="0">
      <items count="7">
        <item x="2"/>
        <item x="0"/>
        <item x="3"/>
        <item x="1"/>
        <item x="4"/>
        <item h="1" x="5"/>
        <item t="default"/>
      </items>
    </pivotField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6" baseField="0" baseItem="0"/>
  </dataFields>
  <formats count="6">
    <format dxfId="49">
      <pivotArea type="all" dataOnly="0" outline="0" fieldPosition="0"/>
    </format>
    <format dxfId="48">
      <pivotArea dataOnly="0" fieldPosition="0">
        <references count="1">
          <reference field="9" count="1">
            <x v="1"/>
          </reference>
        </references>
      </pivotArea>
    </format>
    <format dxfId="47">
      <pivotArea dataOnly="0" fieldPosition="0">
        <references count="1">
          <reference field="9" count="1">
            <x v="3"/>
          </reference>
        </references>
      </pivotArea>
    </format>
    <format dxfId="46">
      <pivotArea dataOnly="0" labelOnly="1" outline="0" axis="axisValues" fieldPosition="0"/>
    </format>
    <format dxfId="45">
      <pivotArea field="9" type="button" dataOnly="0" labelOnly="1" outline="0" axis="axisRow" fieldPosition="0"/>
    </format>
    <format dxfId="44">
      <pivotArea dataOnly="0" grandRow="1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1:L151" totalsRowShown="0" headerRowDxfId="64" dataDxfId="63" tableBorderDxfId="62">
  <autoFilter ref="A1:L151"/>
  <tableColumns count="12">
    <tableColumn id="1" name="Order ID" dataDxfId="61"/>
    <tableColumn id="2" name="Order Date" dataDxfId="60"/>
    <tableColumn id="3" name="Product" dataDxfId="59"/>
    <tableColumn id="4" name="Category" dataDxfId="58"/>
    <tableColumn id="5" name="Quantity" dataDxfId="57"/>
    <tableColumn id="6" name="Unit Price" dataDxfId="56"/>
    <tableColumn id="7" name="Sales Amount" dataDxfId="55"/>
    <tableColumn id="8" name="Payment Method" dataDxfId="54"/>
    <tableColumn id="9" name="Customer Type" dataDxfId="53"/>
    <tableColumn id="10" name="City" dataDxfId="52"/>
    <tableColumn id="11" name="Sales Channel" dataDxfId="51"/>
    <tableColumn id="12" name="Month" dataDxfId="5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2"/>
  <sheetViews>
    <sheetView workbookViewId="0">
      <selection activeCell="M141" sqref="M141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46118</v>
      </c>
      <c r="C2" t="s">
        <v>12</v>
      </c>
      <c r="D2" t="s">
        <v>13</v>
      </c>
      <c r="E2">
        <v>3</v>
      </c>
      <c r="F2">
        <v>7500</v>
      </c>
      <c r="G2">
        <v>22500</v>
      </c>
      <c r="H2" t="s">
        <v>14</v>
      </c>
      <c r="I2" t="s">
        <v>15</v>
      </c>
      <c r="J2" t="s">
        <v>16</v>
      </c>
      <c r="K2" t="s">
        <v>17</v>
      </c>
    </row>
    <row r="3" spans="1:11">
      <c r="A3" t="s">
        <v>18</v>
      </c>
      <c r="B3" s="2">
        <v>46150</v>
      </c>
      <c r="C3" t="s">
        <v>19</v>
      </c>
      <c r="D3" t="s">
        <v>20</v>
      </c>
      <c r="E3">
        <v>4</v>
      </c>
      <c r="F3">
        <v>17500</v>
      </c>
      <c r="G3">
        <v>70000</v>
      </c>
      <c r="H3" t="s">
        <v>21</v>
      </c>
      <c r="I3" t="s">
        <v>15</v>
      </c>
      <c r="J3" t="s">
        <v>22</v>
      </c>
      <c r="K3" t="s">
        <v>23</v>
      </c>
    </row>
    <row r="4" spans="1:11">
      <c r="A4" t="s">
        <v>24</v>
      </c>
      <c r="B4" s="2">
        <v>46158</v>
      </c>
      <c r="C4" t="s">
        <v>12</v>
      </c>
      <c r="D4" t="s">
        <v>13</v>
      </c>
      <c r="E4">
        <v>3</v>
      </c>
      <c r="F4">
        <v>7500</v>
      </c>
      <c r="G4">
        <v>22500</v>
      </c>
      <c r="H4" t="s">
        <v>14</v>
      </c>
      <c r="I4" t="s">
        <v>25</v>
      </c>
      <c r="J4" t="s">
        <v>22</v>
      </c>
      <c r="K4" t="s">
        <v>17</v>
      </c>
    </row>
    <row r="5" spans="1:11">
      <c r="A5" t="s">
        <v>26</v>
      </c>
      <c r="B5" s="2">
        <v>46080</v>
      </c>
      <c r="C5" t="s">
        <v>27</v>
      </c>
      <c r="D5" t="s">
        <v>20</v>
      </c>
      <c r="E5">
        <v>3</v>
      </c>
      <c r="F5">
        <v>28000</v>
      </c>
      <c r="G5">
        <v>84000</v>
      </c>
      <c r="H5" t="s">
        <v>21</v>
      </c>
      <c r="I5" t="s">
        <v>25</v>
      </c>
      <c r="J5" t="s">
        <v>28</v>
      </c>
      <c r="K5" t="s">
        <v>29</v>
      </c>
    </row>
    <row r="6" spans="1:11">
      <c r="A6" t="s">
        <v>30</v>
      </c>
      <c r="B6" s="2">
        <v>46149</v>
      </c>
      <c r="C6" t="s">
        <v>19</v>
      </c>
      <c r="D6" t="s">
        <v>20</v>
      </c>
      <c r="E6">
        <v>4</v>
      </c>
      <c r="F6">
        <v>17500</v>
      </c>
      <c r="G6">
        <v>70000</v>
      </c>
      <c r="H6" t="s">
        <v>14</v>
      </c>
      <c r="I6" t="s">
        <v>25</v>
      </c>
      <c r="J6" t="s">
        <v>22</v>
      </c>
      <c r="K6" t="s">
        <v>29</v>
      </c>
    </row>
    <row r="7" spans="1:11">
      <c r="A7" t="s">
        <v>31</v>
      </c>
      <c r="B7" s="2">
        <v>46072</v>
      </c>
      <c r="C7" t="s">
        <v>32</v>
      </c>
      <c r="D7" t="s">
        <v>33</v>
      </c>
      <c r="E7">
        <v>4</v>
      </c>
      <c r="F7">
        <v>18000</v>
      </c>
      <c r="G7">
        <v>72000</v>
      </c>
      <c r="H7" t="s">
        <v>34</v>
      </c>
      <c r="I7" t="s">
        <v>15</v>
      </c>
      <c r="J7" t="s">
        <v>28</v>
      </c>
      <c r="K7" t="s">
        <v>29</v>
      </c>
    </row>
    <row r="8" spans="1:11">
      <c r="A8" t="s">
        <v>35</v>
      </c>
      <c r="B8" s="2">
        <v>46065</v>
      </c>
      <c r="C8" t="s">
        <v>36</v>
      </c>
      <c r="D8" t="s">
        <v>37</v>
      </c>
      <c r="E8">
        <v>4</v>
      </c>
      <c r="F8">
        <v>2500</v>
      </c>
      <c r="G8">
        <v>10000</v>
      </c>
      <c r="H8" t="s">
        <v>21</v>
      </c>
      <c r="I8" t="s">
        <v>25</v>
      </c>
      <c r="J8" t="s">
        <v>22</v>
      </c>
      <c r="K8" t="s">
        <v>17</v>
      </c>
    </row>
    <row r="9" spans="1:11">
      <c r="A9" t="s">
        <v>38</v>
      </c>
      <c r="B9" s="2">
        <v>46104</v>
      </c>
      <c r="C9" t="s">
        <v>39</v>
      </c>
      <c r="D9" t="s">
        <v>37</v>
      </c>
      <c r="E9">
        <v>4</v>
      </c>
      <c r="F9">
        <v>1800</v>
      </c>
      <c r="G9">
        <v>7200</v>
      </c>
      <c r="H9" t="s">
        <v>34</v>
      </c>
      <c r="I9" t="s">
        <v>25</v>
      </c>
      <c r="J9" t="s">
        <v>16</v>
      </c>
      <c r="K9" t="s">
        <v>17</v>
      </c>
    </row>
    <row r="10" spans="1:11">
      <c r="A10" t="s">
        <v>40</v>
      </c>
      <c r="B10" s="2">
        <v>46127</v>
      </c>
      <c r="C10" t="s">
        <v>39</v>
      </c>
      <c r="D10" t="s">
        <v>37</v>
      </c>
      <c r="E10">
        <v>1</v>
      </c>
      <c r="F10">
        <v>1800</v>
      </c>
      <c r="G10">
        <v>1800</v>
      </c>
      <c r="H10" t="s">
        <v>41</v>
      </c>
      <c r="I10" t="s">
        <v>15</v>
      </c>
      <c r="J10" t="s">
        <v>22</v>
      </c>
      <c r="K10" t="s">
        <v>23</v>
      </c>
    </row>
    <row r="11" spans="1:11">
      <c r="A11" t="s">
        <v>42</v>
      </c>
      <c r="B11" s="2">
        <v>46114</v>
      </c>
      <c r="C11" t="s">
        <v>43</v>
      </c>
      <c r="D11" t="s">
        <v>20</v>
      </c>
      <c r="E11">
        <v>4</v>
      </c>
      <c r="F11">
        <v>9500</v>
      </c>
      <c r="G11">
        <v>38000</v>
      </c>
      <c r="H11" t="s">
        <v>41</v>
      </c>
      <c r="I11" t="s">
        <v>25</v>
      </c>
      <c r="J11" t="s">
        <v>44</v>
      </c>
      <c r="K11" t="s">
        <v>23</v>
      </c>
    </row>
    <row r="12" spans="1:11">
      <c r="A12" t="s">
        <v>45</v>
      </c>
      <c r="B12" s="2">
        <v>46140</v>
      </c>
      <c r="C12" t="s">
        <v>27</v>
      </c>
      <c r="D12" t="s">
        <v>20</v>
      </c>
      <c r="E12">
        <v>4</v>
      </c>
      <c r="F12">
        <v>28000</v>
      </c>
      <c r="G12">
        <v>112000</v>
      </c>
      <c r="H12" t="s">
        <v>21</v>
      </c>
      <c r="I12" t="s">
        <v>25</v>
      </c>
      <c r="J12" t="s">
        <v>16</v>
      </c>
      <c r="K12" t="s">
        <v>17</v>
      </c>
    </row>
    <row r="13" spans="1:11">
      <c r="A13" t="s">
        <v>46</v>
      </c>
      <c r="B13" s="2">
        <v>46124</v>
      </c>
      <c r="C13" t="s">
        <v>27</v>
      </c>
      <c r="D13" t="s">
        <v>20</v>
      </c>
      <c r="E13">
        <v>3</v>
      </c>
      <c r="F13">
        <v>28000</v>
      </c>
      <c r="G13">
        <v>84000</v>
      </c>
      <c r="H13" t="s">
        <v>21</v>
      </c>
      <c r="I13" t="s">
        <v>25</v>
      </c>
      <c r="J13" t="s">
        <v>47</v>
      </c>
      <c r="K13" t="s">
        <v>48</v>
      </c>
    </row>
    <row r="14" spans="1:11">
      <c r="A14" t="s">
        <v>49</v>
      </c>
      <c r="B14" s="2">
        <v>46055</v>
      </c>
      <c r="C14" t="s">
        <v>32</v>
      </c>
      <c r="D14" t="s">
        <v>33</v>
      </c>
      <c r="E14">
        <v>3</v>
      </c>
      <c r="F14">
        <v>18000</v>
      </c>
      <c r="G14">
        <v>54000</v>
      </c>
      <c r="H14" t="s">
        <v>14</v>
      </c>
      <c r="I14" t="s">
        <v>15</v>
      </c>
      <c r="J14" t="s">
        <v>16</v>
      </c>
      <c r="K14" t="s">
        <v>17</v>
      </c>
    </row>
    <row r="15" spans="1:11">
      <c r="A15" t="s">
        <v>50</v>
      </c>
      <c r="B15" s="2">
        <v>46100</v>
      </c>
      <c r="C15" t="s">
        <v>19</v>
      </c>
      <c r="D15" t="s">
        <v>20</v>
      </c>
      <c r="E15">
        <v>4</v>
      </c>
      <c r="F15">
        <v>17500</v>
      </c>
      <c r="G15">
        <v>70000</v>
      </c>
      <c r="H15" t="s">
        <v>41</v>
      </c>
      <c r="I15" t="s">
        <v>25</v>
      </c>
      <c r="J15" t="s">
        <v>47</v>
      </c>
      <c r="K15" t="s">
        <v>17</v>
      </c>
    </row>
    <row r="16" spans="1:11">
      <c r="A16" t="s">
        <v>51</v>
      </c>
      <c r="B16" s="2">
        <v>46157</v>
      </c>
      <c r="C16" t="s">
        <v>39</v>
      </c>
      <c r="D16" t="s">
        <v>37</v>
      </c>
      <c r="E16">
        <v>4</v>
      </c>
      <c r="F16">
        <v>1800</v>
      </c>
      <c r="G16">
        <v>7200</v>
      </c>
      <c r="I16" t="s">
        <v>15</v>
      </c>
      <c r="J16" t="s">
        <v>28</v>
      </c>
      <c r="K16" t="s">
        <v>29</v>
      </c>
    </row>
    <row r="17" spans="1:11">
      <c r="A17" t="s">
        <v>52</v>
      </c>
      <c r="B17" s="2">
        <v>46110</v>
      </c>
      <c r="C17" t="s">
        <v>36</v>
      </c>
      <c r="D17" t="s">
        <v>37</v>
      </c>
      <c r="E17">
        <v>1</v>
      </c>
      <c r="F17">
        <v>2500</v>
      </c>
      <c r="G17">
        <v>2500</v>
      </c>
      <c r="H17" t="s">
        <v>34</v>
      </c>
      <c r="I17" t="s">
        <v>25</v>
      </c>
      <c r="J17" t="s">
        <v>44</v>
      </c>
      <c r="K17" t="s">
        <v>17</v>
      </c>
    </row>
    <row r="18" spans="1:11">
      <c r="A18" t="s">
        <v>53</v>
      </c>
      <c r="B18" s="2">
        <v>46062</v>
      </c>
      <c r="C18" t="s">
        <v>54</v>
      </c>
      <c r="D18" t="s">
        <v>20</v>
      </c>
      <c r="E18">
        <v>4</v>
      </c>
      <c r="F18">
        <v>8000</v>
      </c>
      <c r="G18">
        <v>32000</v>
      </c>
      <c r="H18" t="s">
        <v>34</v>
      </c>
      <c r="I18" t="s">
        <v>25</v>
      </c>
      <c r="J18" t="s">
        <v>28</v>
      </c>
      <c r="K18" t="s">
        <v>23</v>
      </c>
    </row>
    <row r="19" spans="1:11">
      <c r="A19" t="s">
        <v>55</v>
      </c>
      <c r="B19" s="2">
        <v>46072</v>
      </c>
      <c r="C19" t="s">
        <v>56</v>
      </c>
      <c r="D19" t="s">
        <v>33</v>
      </c>
      <c r="E19">
        <v>4</v>
      </c>
      <c r="F19">
        <v>14500</v>
      </c>
      <c r="G19">
        <v>58000</v>
      </c>
      <c r="H19" t="s">
        <v>21</v>
      </c>
      <c r="I19" t="s">
        <v>15</v>
      </c>
      <c r="J19" t="s">
        <v>22</v>
      </c>
      <c r="K19" t="s">
        <v>23</v>
      </c>
    </row>
    <row r="20" spans="1:11">
      <c r="A20" t="s">
        <v>57</v>
      </c>
      <c r="B20" s="2">
        <v>46132</v>
      </c>
      <c r="C20" t="s">
        <v>36</v>
      </c>
      <c r="D20" t="s">
        <v>37</v>
      </c>
      <c r="E20">
        <v>1</v>
      </c>
      <c r="F20">
        <v>2500</v>
      </c>
      <c r="G20">
        <v>2500</v>
      </c>
      <c r="H20" t="s">
        <v>41</v>
      </c>
      <c r="I20" t="s">
        <v>15</v>
      </c>
      <c r="J20" t="s">
        <v>22</v>
      </c>
      <c r="K20" t="s">
        <v>23</v>
      </c>
    </row>
    <row r="21" spans="1:11">
      <c r="A21" t="s">
        <v>58</v>
      </c>
      <c r="B21" s="2">
        <v>46139</v>
      </c>
      <c r="C21" t="s">
        <v>19</v>
      </c>
      <c r="D21" t="s">
        <v>20</v>
      </c>
      <c r="E21">
        <v>3</v>
      </c>
      <c r="F21">
        <v>17500</v>
      </c>
      <c r="G21">
        <v>52500</v>
      </c>
      <c r="H21" t="s">
        <v>34</v>
      </c>
      <c r="I21" t="s">
        <v>15</v>
      </c>
      <c r="J21" t="s">
        <v>22</v>
      </c>
      <c r="K21" t="s">
        <v>29</v>
      </c>
    </row>
    <row r="22" spans="1:11">
      <c r="A22" t="s">
        <v>59</v>
      </c>
      <c r="B22" s="2">
        <v>46142</v>
      </c>
      <c r="C22" t="s">
        <v>27</v>
      </c>
      <c r="D22" t="s">
        <v>20</v>
      </c>
      <c r="E22">
        <v>4</v>
      </c>
      <c r="F22">
        <v>28000</v>
      </c>
      <c r="G22">
        <v>112000</v>
      </c>
      <c r="H22" t="s">
        <v>41</v>
      </c>
      <c r="I22" t="s">
        <v>15</v>
      </c>
      <c r="J22" t="s">
        <v>47</v>
      </c>
      <c r="K22" t="s">
        <v>48</v>
      </c>
    </row>
    <row r="23" spans="1:11">
      <c r="A23" t="s">
        <v>60</v>
      </c>
      <c r="B23" s="2">
        <v>46064</v>
      </c>
      <c r="C23" t="s">
        <v>61</v>
      </c>
      <c r="D23" t="s">
        <v>37</v>
      </c>
      <c r="E23">
        <v>3</v>
      </c>
      <c r="F23">
        <v>5500</v>
      </c>
      <c r="G23">
        <v>16500</v>
      </c>
      <c r="H23" t="s">
        <v>21</v>
      </c>
      <c r="I23" t="s">
        <v>15</v>
      </c>
      <c r="J23" t="s">
        <v>44</v>
      </c>
      <c r="K23" t="s">
        <v>29</v>
      </c>
    </row>
    <row r="24" spans="1:11">
      <c r="A24" t="s">
        <v>62</v>
      </c>
      <c r="B24" s="2">
        <v>46103</v>
      </c>
      <c r="C24" t="s">
        <v>39</v>
      </c>
      <c r="D24" t="s">
        <v>37</v>
      </c>
      <c r="E24">
        <v>4</v>
      </c>
      <c r="F24">
        <v>1800</v>
      </c>
      <c r="G24">
        <v>7200</v>
      </c>
      <c r="H24" t="s">
        <v>41</v>
      </c>
      <c r="I24" t="s">
        <v>15</v>
      </c>
      <c r="J24" t="s">
        <v>47</v>
      </c>
      <c r="K24" t="s">
        <v>23</v>
      </c>
    </row>
    <row r="25" spans="1:11">
      <c r="A25" t="s">
        <v>63</v>
      </c>
      <c r="B25" s="2">
        <v>46167</v>
      </c>
      <c r="C25" t="s">
        <v>12</v>
      </c>
      <c r="D25" t="s">
        <v>13</v>
      </c>
      <c r="E25">
        <v>4</v>
      </c>
      <c r="F25">
        <v>7500</v>
      </c>
      <c r="G25">
        <v>30000</v>
      </c>
      <c r="H25" t="s">
        <v>14</v>
      </c>
      <c r="I25" t="s">
        <v>15</v>
      </c>
      <c r="J25" t="s">
        <v>28</v>
      </c>
      <c r="K25" t="s">
        <v>29</v>
      </c>
    </row>
    <row r="26" spans="1:11">
      <c r="A26" t="s">
        <v>64</v>
      </c>
      <c r="B26" s="2">
        <v>46057</v>
      </c>
      <c r="C26" t="s">
        <v>65</v>
      </c>
      <c r="D26" t="s">
        <v>33</v>
      </c>
      <c r="E26">
        <v>1</v>
      </c>
      <c r="F26">
        <v>4500</v>
      </c>
      <c r="G26">
        <v>4500</v>
      </c>
      <c r="H26" t="s">
        <v>21</v>
      </c>
      <c r="I26" t="s">
        <v>25</v>
      </c>
      <c r="J26" t="s">
        <v>28</v>
      </c>
      <c r="K26" t="s">
        <v>17</v>
      </c>
    </row>
    <row r="27" spans="1:11">
      <c r="A27" t="s">
        <v>66</v>
      </c>
      <c r="B27" s="2">
        <v>46117</v>
      </c>
      <c r="C27" t="s">
        <v>67</v>
      </c>
      <c r="D27" t="s">
        <v>68</v>
      </c>
      <c r="E27">
        <v>1</v>
      </c>
      <c r="F27">
        <v>6500</v>
      </c>
      <c r="G27">
        <v>6500</v>
      </c>
      <c r="H27" t="s">
        <v>21</v>
      </c>
      <c r="I27" t="s">
        <v>15</v>
      </c>
      <c r="J27" t="s">
        <v>44</v>
      </c>
      <c r="K27" t="s">
        <v>48</v>
      </c>
    </row>
    <row r="28" spans="1:11">
      <c r="A28" t="s">
        <v>69</v>
      </c>
      <c r="B28" s="2">
        <v>46112</v>
      </c>
      <c r="C28" t="s">
        <v>70</v>
      </c>
      <c r="D28" t="s">
        <v>68</v>
      </c>
      <c r="E28">
        <v>3</v>
      </c>
      <c r="F28">
        <v>12000</v>
      </c>
      <c r="G28">
        <v>36000</v>
      </c>
      <c r="H28" t="s">
        <v>41</v>
      </c>
      <c r="I28" t="s">
        <v>15</v>
      </c>
      <c r="J28" t="s">
        <v>16</v>
      </c>
      <c r="K28" t="s">
        <v>17</v>
      </c>
    </row>
    <row r="29" spans="1:11">
      <c r="A29" t="s">
        <v>71</v>
      </c>
      <c r="B29" s="2">
        <v>46136</v>
      </c>
      <c r="C29" t="s">
        <v>72</v>
      </c>
      <c r="D29" t="s">
        <v>13</v>
      </c>
      <c r="E29">
        <v>2</v>
      </c>
      <c r="F29">
        <v>18500</v>
      </c>
      <c r="G29">
        <v>37000</v>
      </c>
      <c r="H29" t="s">
        <v>41</v>
      </c>
      <c r="I29" t="s">
        <v>15</v>
      </c>
      <c r="J29" t="s">
        <v>73</v>
      </c>
      <c r="K29" t="s">
        <v>23</v>
      </c>
    </row>
    <row r="30" spans="1:11">
      <c r="A30" t="s">
        <v>74</v>
      </c>
      <c r="B30" s="2">
        <v>46115</v>
      </c>
      <c r="C30" t="s">
        <v>36</v>
      </c>
      <c r="D30" t="s">
        <v>37</v>
      </c>
      <c r="E30">
        <v>2</v>
      </c>
      <c r="F30">
        <v>2500</v>
      </c>
      <c r="G30">
        <v>5000</v>
      </c>
      <c r="H30" t="s">
        <v>14</v>
      </c>
      <c r="I30" t="s">
        <v>15</v>
      </c>
      <c r="J30" t="s">
        <v>16</v>
      </c>
      <c r="K30" t="s">
        <v>48</v>
      </c>
    </row>
    <row r="31" spans="1:11">
      <c r="A31" t="s">
        <v>75</v>
      </c>
      <c r="B31" s="2">
        <v>46074</v>
      </c>
      <c r="C31" t="s">
        <v>19</v>
      </c>
      <c r="D31" t="s">
        <v>20</v>
      </c>
      <c r="E31">
        <v>2</v>
      </c>
      <c r="F31">
        <v>17500</v>
      </c>
      <c r="G31">
        <v>35000</v>
      </c>
      <c r="H31" t="s">
        <v>41</v>
      </c>
      <c r="I31" t="s">
        <v>25</v>
      </c>
      <c r="J31" t="s">
        <v>28</v>
      </c>
      <c r="K31" t="s">
        <v>17</v>
      </c>
    </row>
    <row r="32" spans="1:11">
      <c r="A32" t="s">
        <v>76</v>
      </c>
      <c r="B32" s="2">
        <v>46165</v>
      </c>
      <c r="C32" t="s">
        <v>39</v>
      </c>
      <c r="D32" t="s">
        <v>37</v>
      </c>
      <c r="E32">
        <v>4</v>
      </c>
      <c r="F32">
        <v>1800</v>
      </c>
      <c r="G32">
        <v>7200</v>
      </c>
      <c r="H32" t="s">
        <v>14</v>
      </c>
      <c r="I32" t="s">
        <v>25</v>
      </c>
      <c r="J32" t="s">
        <v>28</v>
      </c>
      <c r="K32" t="s">
        <v>48</v>
      </c>
    </row>
    <row r="33" spans="1:11">
      <c r="A33" t="s">
        <v>77</v>
      </c>
      <c r="B33" s="2">
        <v>46087</v>
      </c>
      <c r="C33" t="s">
        <v>67</v>
      </c>
      <c r="D33" t="s">
        <v>68</v>
      </c>
      <c r="E33">
        <v>2</v>
      </c>
      <c r="F33">
        <v>6500</v>
      </c>
      <c r="G33">
        <v>13000</v>
      </c>
      <c r="H33" t="s">
        <v>21</v>
      </c>
      <c r="I33" t="s">
        <v>25</v>
      </c>
      <c r="J33" t="s">
        <v>47</v>
      </c>
      <c r="K33" t="s">
        <v>29</v>
      </c>
    </row>
    <row r="34" spans="1:11">
      <c r="A34" t="s">
        <v>78</v>
      </c>
      <c r="B34" s="2">
        <v>46095</v>
      </c>
      <c r="C34" t="s">
        <v>36</v>
      </c>
      <c r="D34" t="s">
        <v>37</v>
      </c>
      <c r="E34">
        <v>2</v>
      </c>
      <c r="F34">
        <v>2500</v>
      </c>
      <c r="G34">
        <v>5000</v>
      </c>
      <c r="H34" t="s">
        <v>21</v>
      </c>
      <c r="I34" t="s">
        <v>25</v>
      </c>
      <c r="J34" t="s">
        <v>22</v>
      </c>
      <c r="K34" t="s">
        <v>29</v>
      </c>
    </row>
    <row r="35" spans="1:11">
      <c r="A35" t="s">
        <v>79</v>
      </c>
      <c r="B35" s="2">
        <v>46162</v>
      </c>
      <c r="C35" t="s">
        <v>54</v>
      </c>
      <c r="D35" t="s">
        <v>20</v>
      </c>
      <c r="E35">
        <v>1</v>
      </c>
      <c r="F35">
        <v>8000</v>
      </c>
      <c r="G35">
        <v>8000</v>
      </c>
      <c r="H35" t="s">
        <v>41</v>
      </c>
      <c r="I35" t="s">
        <v>15</v>
      </c>
      <c r="J35" t="s">
        <v>22</v>
      </c>
      <c r="K35" t="s">
        <v>23</v>
      </c>
    </row>
    <row r="36" spans="1:11">
      <c r="A36" t="s">
        <v>80</v>
      </c>
      <c r="B36" s="2">
        <v>46136</v>
      </c>
      <c r="C36" t="s">
        <v>65</v>
      </c>
      <c r="D36" t="s">
        <v>33</v>
      </c>
      <c r="E36">
        <v>4</v>
      </c>
      <c r="F36">
        <v>4500</v>
      </c>
      <c r="G36">
        <v>18000</v>
      </c>
      <c r="H36" t="s">
        <v>34</v>
      </c>
      <c r="I36" t="s">
        <v>25</v>
      </c>
      <c r="J36" t="s">
        <v>16</v>
      </c>
      <c r="K36" t="s">
        <v>48</v>
      </c>
    </row>
    <row r="37" spans="1:11">
      <c r="A37" t="s">
        <v>81</v>
      </c>
      <c r="B37" s="2">
        <v>46162</v>
      </c>
      <c r="C37" t="s">
        <v>72</v>
      </c>
      <c r="D37" t="s">
        <v>13</v>
      </c>
      <c r="E37">
        <v>3</v>
      </c>
      <c r="F37">
        <v>18500</v>
      </c>
      <c r="G37">
        <v>55500</v>
      </c>
      <c r="H37" t="s">
        <v>41</v>
      </c>
      <c r="I37" t="s">
        <v>25</v>
      </c>
      <c r="J37" t="s">
        <v>16</v>
      </c>
      <c r="K37" t="s">
        <v>48</v>
      </c>
    </row>
    <row r="38" spans="1:11">
      <c r="A38" t="s">
        <v>82</v>
      </c>
      <c r="B38" s="2">
        <v>46125</v>
      </c>
      <c r="C38" t="s">
        <v>12</v>
      </c>
      <c r="D38" t="s">
        <v>13</v>
      </c>
      <c r="E38">
        <v>3</v>
      </c>
      <c r="F38">
        <v>7500</v>
      </c>
      <c r="G38">
        <v>22500</v>
      </c>
      <c r="H38" t="s">
        <v>41</v>
      </c>
      <c r="I38" t="s">
        <v>25</v>
      </c>
      <c r="J38" t="s">
        <v>16</v>
      </c>
      <c r="K38" t="s">
        <v>29</v>
      </c>
    </row>
    <row r="39" spans="1:11">
      <c r="A39" t="s">
        <v>83</v>
      </c>
      <c r="B39" s="2">
        <v>46066</v>
      </c>
      <c r="C39" t="s">
        <v>27</v>
      </c>
      <c r="D39" t="s">
        <v>20</v>
      </c>
      <c r="E39">
        <v>2</v>
      </c>
      <c r="F39">
        <v>28000</v>
      </c>
      <c r="G39">
        <v>56000</v>
      </c>
      <c r="H39" t="s">
        <v>34</v>
      </c>
      <c r="I39" t="s">
        <v>15</v>
      </c>
      <c r="J39" t="s">
        <v>47</v>
      </c>
      <c r="K39" t="s">
        <v>48</v>
      </c>
    </row>
    <row r="40" spans="1:11">
      <c r="A40" t="s">
        <v>84</v>
      </c>
      <c r="B40" s="2">
        <v>46151</v>
      </c>
      <c r="C40" t="s">
        <v>12</v>
      </c>
      <c r="D40" t="s">
        <v>13</v>
      </c>
      <c r="E40">
        <v>1</v>
      </c>
      <c r="F40">
        <v>7500</v>
      </c>
      <c r="G40">
        <v>7500</v>
      </c>
      <c r="H40" t="s">
        <v>34</v>
      </c>
      <c r="I40" t="s">
        <v>15</v>
      </c>
      <c r="J40" t="s">
        <v>22</v>
      </c>
      <c r="K40" t="s">
        <v>29</v>
      </c>
    </row>
    <row r="41" spans="1:11">
      <c r="A41" t="s">
        <v>85</v>
      </c>
      <c r="B41" s="2">
        <v>46091</v>
      </c>
      <c r="C41" t="s">
        <v>32</v>
      </c>
      <c r="D41" t="s">
        <v>33</v>
      </c>
      <c r="E41">
        <v>1</v>
      </c>
      <c r="F41">
        <v>18000</v>
      </c>
      <c r="G41">
        <v>18000</v>
      </c>
      <c r="H41" t="s">
        <v>34</v>
      </c>
      <c r="I41" t="s">
        <v>15</v>
      </c>
      <c r="J41" t="s">
        <v>28</v>
      </c>
      <c r="K41" t="s">
        <v>29</v>
      </c>
    </row>
    <row r="42" spans="1:11">
      <c r="A42" t="s">
        <v>86</v>
      </c>
      <c r="B42" s="2">
        <v>46106</v>
      </c>
      <c r="C42" t="s">
        <v>12</v>
      </c>
      <c r="D42" t="s">
        <v>13</v>
      </c>
      <c r="E42">
        <v>1</v>
      </c>
      <c r="F42">
        <v>7500</v>
      </c>
      <c r="G42">
        <v>7500</v>
      </c>
      <c r="H42" t="s">
        <v>34</v>
      </c>
      <c r="I42" t="s">
        <v>25</v>
      </c>
      <c r="J42" t="s">
        <v>22</v>
      </c>
      <c r="K42" t="s">
        <v>23</v>
      </c>
    </row>
    <row r="43" spans="1:11">
      <c r="A43" t="s">
        <v>87</v>
      </c>
      <c r="B43" s="2">
        <v>46056</v>
      </c>
      <c r="C43" t="s">
        <v>12</v>
      </c>
      <c r="D43" t="s">
        <v>13</v>
      </c>
      <c r="E43">
        <v>2</v>
      </c>
      <c r="F43">
        <v>7500</v>
      </c>
      <c r="G43">
        <v>15000</v>
      </c>
      <c r="H43" t="s">
        <v>34</v>
      </c>
      <c r="I43" t="s">
        <v>88</v>
      </c>
      <c r="J43" t="s">
        <v>22</v>
      </c>
      <c r="K43" t="s">
        <v>29</v>
      </c>
    </row>
    <row r="44" spans="1:11">
      <c r="A44" t="s">
        <v>89</v>
      </c>
      <c r="B44" s="2">
        <v>46131</v>
      </c>
      <c r="C44" t="s">
        <v>67</v>
      </c>
      <c r="D44" t="s">
        <v>68</v>
      </c>
      <c r="E44">
        <v>4</v>
      </c>
      <c r="F44">
        <v>6500</v>
      </c>
      <c r="G44">
        <v>26000</v>
      </c>
      <c r="H44" t="s">
        <v>14</v>
      </c>
      <c r="I44" t="s">
        <v>25</v>
      </c>
      <c r="J44" t="s">
        <v>28</v>
      </c>
      <c r="K44" t="s">
        <v>48</v>
      </c>
    </row>
    <row r="45" spans="1:11">
      <c r="A45" t="s">
        <v>90</v>
      </c>
      <c r="B45" s="2">
        <v>46108</v>
      </c>
      <c r="C45" t="s">
        <v>61</v>
      </c>
      <c r="D45" t="s">
        <v>37</v>
      </c>
      <c r="E45">
        <v>4</v>
      </c>
      <c r="F45">
        <v>5500</v>
      </c>
      <c r="G45">
        <v>22000</v>
      </c>
      <c r="H45" t="s">
        <v>14</v>
      </c>
      <c r="I45" t="s">
        <v>25</v>
      </c>
      <c r="J45" t="s">
        <v>16</v>
      </c>
      <c r="K45" t="s">
        <v>29</v>
      </c>
    </row>
    <row r="46" spans="1:11">
      <c r="A46" t="s">
        <v>91</v>
      </c>
      <c r="B46" s="2">
        <v>46158</v>
      </c>
      <c r="C46" t="s">
        <v>70</v>
      </c>
      <c r="D46" t="s">
        <v>68</v>
      </c>
      <c r="E46">
        <v>3</v>
      </c>
      <c r="F46">
        <v>12000</v>
      </c>
      <c r="G46">
        <v>36000</v>
      </c>
      <c r="H46" t="s">
        <v>34</v>
      </c>
      <c r="I46" t="s">
        <v>15</v>
      </c>
      <c r="J46" t="s">
        <v>47</v>
      </c>
      <c r="K46" t="s">
        <v>23</v>
      </c>
    </row>
    <row r="47" spans="1:11">
      <c r="A47" t="s">
        <v>92</v>
      </c>
      <c r="B47" s="2">
        <v>46091</v>
      </c>
      <c r="C47" t="s">
        <v>32</v>
      </c>
      <c r="D47" t="s">
        <v>33</v>
      </c>
      <c r="E47">
        <v>3</v>
      </c>
      <c r="F47">
        <v>18000</v>
      </c>
      <c r="G47">
        <v>54000</v>
      </c>
      <c r="H47" t="s">
        <v>14</v>
      </c>
      <c r="I47" t="s">
        <v>25</v>
      </c>
      <c r="J47" t="s">
        <v>47</v>
      </c>
      <c r="K47" t="s">
        <v>29</v>
      </c>
    </row>
    <row r="48" spans="1:11">
      <c r="A48" t="s">
        <v>93</v>
      </c>
      <c r="B48" s="2">
        <v>46123</v>
      </c>
      <c r="C48" t="s">
        <v>61</v>
      </c>
      <c r="D48" t="s">
        <v>37</v>
      </c>
      <c r="E48">
        <v>1</v>
      </c>
      <c r="F48">
        <v>5500</v>
      </c>
      <c r="G48">
        <v>5500</v>
      </c>
      <c r="H48" t="s">
        <v>34</v>
      </c>
      <c r="I48" t="s">
        <v>15</v>
      </c>
      <c r="J48" t="s">
        <v>16</v>
      </c>
      <c r="K48" t="s">
        <v>23</v>
      </c>
    </row>
    <row r="49" spans="1:11">
      <c r="A49" t="s">
        <v>94</v>
      </c>
      <c r="B49" s="2">
        <v>46074</v>
      </c>
      <c r="C49" t="s">
        <v>43</v>
      </c>
      <c r="D49" t="s">
        <v>20</v>
      </c>
      <c r="E49">
        <v>1</v>
      </c>
      <c r="F49">
        <v>9500</v>
      </c>
      <c r="G49">
        <v>9500</v>
      </c>
      <c r="H49" t="s">
        <v>14</v>
      </c>
      <c r="I49" t="s">
        <v>15</v>
      </c>
      <c r="J49" t="s">
        <v>22</v>
      </c>
      <c r="K49" t="s">
        <v>48</v>
      </c>
    </row>
    <row r="50" spans="1:11">
      <c r="A50" t="s">
        <v>95</v>
      </c>
      <c r="B50" s="2">
        <v>46130</v>
      </c>
      <c r="C50" t="s">
        <v>39</v>
      </c>
      <c r="D50" t="s">
        <v>37</v>
      </c>
      <c r="E50">
        <v>3</v>
      </c>
      <c r="F50">
        <v>1800</v>
      </c>
      <c r="G50">
        <v>5400</v>
      </c>
      <c r="H50" t="s">
        <v>34</v>
      </c>
      <c r="I50" t="s">
        <v>15</v>
      </c>
      <c r="J50" t="s">
        <v>47</v>
      </c>
      <c r="K50" t="s">
        <v>48</v>
      </c>
    </row>
    <row r="51" spans="1:11">
      <c r="A51" t="s">
        <v>96</v>
      </c>
      <c r="B51" s="2">
        <v>46103</v>
      </c>
      <c r="C51" t="s">
        <v>67</v>
      </c>
      <c r="D51" t="s">
        <v>68</v>
      </c>
      <c r="E51">
        <v>4</v>
      </c>
      <c r="F51">
        <v>6500</v>
      </c>
      <c r="G51">
        <v>26000</v>
      </c>
      <c r="H51" t="s">
        <v>21</v>
      </c>
      <c r="I51" t="s">
        <v>15</v>
      </c>
      <c r="J51" t="s">
        <v>47</v>
      </c>
      <c r="K51" t="s">
        <v>48</v>
      </c>
    </row>
    <row r="52" spans="1:11">
      <c r="A52" t="s">
        <v>97</v>
      </c>
      <c r="B52" s="2">
        <v>46077</v>
      </c>
      <c r="C52" t="s">
        <v>19</v>
      </c>
      <c r="D52" t="s">
        <v>20</v>
      </c>
      <c r="E52">
        <v>2</v>
      </c>
      <c r="F52">
        <v>17500</v>
      </c>
      <c r="G52">
        <v>35000</v>
      </c>
      <c r="H52" t="s">
        <v>14</v>
      </c>
      <c r="I52" t="s">
        <v>25</v>
      </c>
      <c r="J52" t="s">
        <v>28</v>
      </c>
      <c r="K52" t="s">
        <v>48</v>
      </c>
    </row>
    <row r="53" spans="1:11">
      <c r="A53" t="s">
        <v>98</v>
      </c>
      <c r="B53" s="2">
        <v>46056</v>
      </c>
      <c r="C53" t="s">
        <v>56</v>
      </c>
      <c r="D53" t="s">
        <v>33</v>
      </c>
      <c r="E53">
        <v>1</v>
      </c>
      <c r="F53">
        <v>14500</v>
      </c>
      <c r="G53">
        <v>14500</v>
      </c>
      <c r="H53" t="s">
        <v>34</v>
      </c>
      <c r="I53" t="s">
        <v>25</v>
      </c>
      <c r="J53" t="s">
        <v>47</v>
      </c>
      <c r="K53" t="s">
        <v>29</v>
      </c>
    </row>
    <row r="54" spans="1:11">
      <c r="A54" t="s">
        <v>99</v>
      </c>
      <c r="B54" s="2">
        <v>46134</v>
      </c>
      <c r="C54" t="s">
        <v>67</v>
      </c>
      <c r="D54" t="s">
        <v>68</v>
      </c>
      <c r="E54">
        <v>2</v>
      </c>
      <c r="F54">
        <v>6500</v>
      </c>
      <c r="G54">
        <v>13000</v>
      </c>
      <c r="H54" t="s">
        <v>14</v>
      </c>
      <c r="I54" t="s">
        <v>15</v>
      </c>
      <c r="J54" t="s">
        <v>16</v>
      </c>
      <c r="K54" t="s">
        <v>23</v>
      </c>
    </row>
    <row r="55" spans="1:11">
      <c r="A55" t="s">
        <v>100</v>
      </c>
      <c r="B55" s="2">
        <v>46097</v>
      </c>
      <c r="C55" t="s">
        <v>27</v>
      </c>
      <c r="D55" t="s">
        <v>20</v>
      </c>
      <c r="E55">
        <v>3</v>
      </c>
      <c r="F55">
        <v>28000</v>
      </c>
      <c r="G55">
        <v>84000</v>
      </c>
      <c r="H55" t="s">
        <v>34</v>
      </c>
      <c r="I55" t="s">
        <v>15</v>
      </c>
      <c r="J55" t="s">
        <v>22</v>
      </c>
      <c r="K55" t="s">
        <v>48</v>
      </c>
    </row>
    <row r="56" spans="1:11">
      <c r="A56" t="s">
        <v>101</v>
      </c>
      <c r="B56" s="2">
        <v>46082</v>
      </c>
      <c r="C56" t="s">
        <v>36</v>
      </c>
      <c r="D56" t="s">
        <v>37</v>
      </c>
      <c r="E56">
        <v>1</v>
      </c>
      <c r="F56">
        <v>2500</v>
      </c>
      <c r="G56">
        <v>2500</v>
      </c>
      <c r="H56" t="s">
        <v>41</v>
      </c>
      <c r="I56" t="s">
        <v>25</v>
      </c>
      <c r="J56" t="s">
        <v>28</v>
      </c>
      <c r="K56" t="s">
        <v>48</v>
      </c>
    </row>
    <row r="57" spans="1:11">
      <c r="A57" t="s">
        <v>102</v>
      </c>
      <c r="B57" s="2">
        <v>46097</v>
      </c>
      <c r="C57" t="s">
        <v>39</v>
      </c>
      <c r="D57" t="s">
        <v>37</v>
      </c>
      <c r="E57">
        <v>3</v>
      </c>
      <c r="F57">
        <v>1800</v>
      </c>
      <c r="G57">
        <v>5400</v>
      </c>
      <c r="H57" t="s">
        <v>41</v>
      </c>
      <c r="I57" t="s">
        <v>25</v>
      </c>
      <c r="J57" t="s">
        <v>28</v>
      </c>
      <c r="K57" t="s">
        <v>17</v>
      </c>
    </row>
    <row r="58" spans="1:11">
      <c r="A58" t="s">
        <v>103</v>
      </c>
      <c r="B58" s="2">
        <v>46124</v>
      </c>
      <c r="C58" t="s">
        <v>27</v>
      </c>
      <c r="D58" t="s">
        <v>20</v>
      </c>
      <c r="E58">
        <v>4</v>
      </c>
      <c r="F58">
        <v>28000</v>
      </c>
      <c r="G58">
        <v>112000</v>
      </c>
      <c r="H58" t="s">
        <v>21</v>
      </c>
      <c r="I58" t="s">
        <v>25</v>
      </c>
      <c r="J58" t="s">
        <v>44</v>
      </c>
      <c r="K58" t="s">
        <v>48</v>
      </c>
    </row>
    <row r="59" spans="1:11">
      <c r="A59" t="s">
        <v>104</v>
      </c>
      <c r="B59" s="2">
        <v>46073</v>
      </c>
      <c r="C59" t="s">
        <v>27</v>
      </c>
      <c r="D59" t="s">
        <v>20</v>
      </c>
      <c r="E59">
        <v>4</v>
      </c>
      <c r="F59">
        <v>28000</v>
      </c>
      <c r="G59">
        <v>112000</v>
      </c>
      <c r="H59" t="s">
        <v>21</v>
      </c>
      <c r="I59" t="s">
        <v>15</v>
      </c>
      <c r="J59" t="s">
        <v>28</v>
      </c>
      <c r="K59" t="s">
        <v>17</v>
      </c>
    </row>
    <row r="60" spans="1:11">
      <c r="A60" t="s">
        <v>105</v>
      </c>
      <c r="B60" s="2">
        <v>46135</v>
      </c>
      <c r="C60" t="s">
        <v>19</v>
      </c>
      <c r="D60" t="s">
        <v>20</v>
      </c>
      <c r="E60">
        <v>1</v>
      </c>
      <c r="F60">
        <v>17500</v>
      </c>
      <c r="G60">
        <v>17500</v>
      </c>
      <c r="H60" t="s">
        <v>41</v>
      </c>
      <c r="I60" t="s">
        <v>15</v>
      </c>
      <c r="J60" t="s">
        <v>28</v>
      </c>
      <c r="K60" t="s">
        <v>29</v>
      </c>
    </row>
    <row r="61" spans="1:11">
      <c r="A61" t="s">
        <v>106</v>
      </c>
      <c r="B61" s="2">
        <v>46071</v>
      </c>
      <c r="C61" t="s">
        <v>39</v>
      </c>
      <c r="D61" t="s">
        <v>37</v>
      </c>
      <c r="E61">
        <v>3</v>
      </c>
      <c r="F61">
        <v>1800</v>
      </c>
      <c r="G61">
        <v>5400</v>
      </c>
      <c r="H61" t="s">
        <v>14</v>
      </c>
      <c r="I61" t="s">
        <v>15</v>
      </c>
      <c r="J61" t="s">
        <v>16</v>
      </c>
      <c r="K61" t="s">
        <v>48</v>
      </c>
    </row>
    <row r="62" spans="1:11">
      <c r="A62" t="s">
        <v>107</v>
      </c>
      <c r="B62" s="2">
        <v>46127</v>
      </c>
      <c r="C62" t="s">
        <v>54</v>
      </c>
      <c r="D62" t="s">
        <v>20</v>
      </c>
      <c r="E62">
        <v>3</v>
      </c>
      <c r="F62">
        <v>8000</v>
      </c>
      <c r="G62">
        <v>24000</v>
      </c>
      <c r="H62" t="s">
        <v>14</v>
      </c>
      <c r="I62" t="s">
        <v>25</v>
      </c>
      <c r="J62" t="s">
        <v>47</v>
      </c>
      <c r="K62" t="s">
        <v>48</v>
      </c>
    </row>
    <row r="63" spans="1:11">
      <c r="A63" t="s">
        <v>108</v>
      </c>
      <c r="B63" s="2">
        <v>46064</v>
      </c>
      <c r="C63" t="s">
        <v>39</v>
      </c>
      <c r="D63" t="s">
        <v>37</v>
      </c>
      <c r="E63">
        <v>1</v>
      </c>
      <c r="F63">
        <v>1800</v>
      </c>
      <c r="G63">
        <v>1800</v>
      </c>
      <c r="H63" t="s">
        <v>41</v>
      </c>
      <c r="I63" t="s">
        <v>25</v>
      </c>
      <c r="J63" t="s">
        <v>28</v>
      </c>
      <c r="K63" t="s">
        <v>29</v>
      </c>
    </row>
    <row r="64" spans="1:11">
      <c r="A64" t="s">
        <v>109</v>
      </c>
      <c r="B64" s="2">
        <v>46148</v>
      </c>
      <c r="C64" t="s">
        <v>32</v>
      </c>
      <c r="D64" t="s">
        <v>33</v>
      </c>
      <c r="E64">
        <v>1</v>
      </c>
      <c r="F64">
        <v>18000</v>
      </c>
      <c r="G64">
        <v>18000</v>
      </c>
      <c r="H64" t="s">
        <v>41</v>
      </c>
      <c r="I64" t="s">
        <v>15</v>
      </c>
      <c r="J64" t="s">
        <v>28</v>
      </c>
      <c r="K64" t="s">
        <v>29</v>
      </c>
    </row>
    <row r="65" spans="1:11">
      <c r="A65" t="s">
        <v>110</v>
      </c>
      <c r="B65" s="2">
        <v>46099</v>
      </c>
      <c r="C65" t="s">
        <v>39</v>
      </c>
      <c r="D65" t="s">
        <v>37</v>
      </c>
      <c r="E65">
        <v>3</v>
      </c>
      <c r="F65">
        <v>1800</v>
      </c>
      <c r="G65">
        <v>5400</v>
      </c>
      <c r="H65" t="s">
        <v>41</v>
      </c>
      <c r="I65" t="s">
        <v>25</v>
      </c>
      <c r="J65" t="s">
        <v>44</v>
      </c>
      <c r="K65" t="s">
        <v>111</v>
      </c>
    </row>
    <row r="66" spans="1:11">
      <c r="A66" t="s">
        <v>112</v>
      </c>
      <c r="B66" s="2">
        <v>46108</v>
      </c>
      <c r="C66" t="s">
        <v>54</v>
      </c>
      <c r="D66" t="s">
        <v>20</v>
      </c>
      <c r="E66">
        <v>4</v>
      </c>
      <c r="F66">
        <v>8000</v>
      </c>
      <c r="G66">
        <v>32000</v>
      </c>
      <c r="H66" t="s">
        <v>34</v>
      </c>
      <c r="I66" t="s">
        <v>15</v>
      </c>
      <c r="J66" t="s">
        <v>16</v>
      </c>
      <c r="K66" t="s">
        <v>23</v>
      </c>
    </row>
    <row r="67" spans="1:11">
      <c r="A67" t="s">
        <v>113</v>
      </c>
      <c r="B67" s="2">
        <v>46123</v>
      </c>
      <c r="C67" t="s">
        <v>114</v>
      </c>
      <c r="D67" t="s">
        <v>13</v>
      </c>
      <c r="E67">
        <v>3</v>
      </c>
      <c r="F67">
        <v>22000</v>
      </c>
      <c r="G67">
        <v>66000</v>
      </c>
      <c r="H67" t="s">
        <v>41</v>
      </c>
      <c r="I67" t="s">
        <v>15</v>
      </c>
      <c r="J67" t="s">
        <v>22</v>
      </c>
      <c r="K67" t="s">
        <v>23</v>
      </c>
    </row>
    <row r="68" spans="1:11">
      <c r="A68" t="s">
        <v>115</v>
      </c>
      <c r="B68" s="2">
        <v>46161</v>
      </c>
      <c r="C68" t="s">
        <v>39</v>
      </c>
      <c r="D68" t="s">
        <v>37</v>
      </c>
      <c r="E68">
        <v>1</v>
      </c>
      <c r="F68">
        <v>1800</v>
      </c>
      <c r="G68">
        <v>1800</v>
      </c>
      <c r="H68" t="s">
        <v>34</v>
      </c>
      <c r="I68" t="s">
        <v>15</v>
      </c>
      <c r="J68" t="s">
        <v>28</v>
      </c>
      <c r="K68" t="s">
        <v>29</v>
      </c>
    </row>
    <row r="69" spans="1:11">
      <c r="A69" t="s">
        <v>116</v>
      </c>
      <c r="B69" s="2">
        <v>46130</v>
      </c>
      <c r="C69" t="s">
        <v>56</v>
      </c>
      <c r="D69" t="s">
        <v>33</v>
      </c>
      <c r="E69">
        <v>2</v>
      </c>
      <c r="F69">
        <v>14500</v>
      </c>
      <c r="G69">
        <v>29000</v>
      </c>
      <c r="H69" t="s">
        <v>41</v>
      </c>
      <c r="I69" t="s">
        <v>15</v>
      </c>
      <c r="J69" t="s">
        <v>22</v>
      </c>
      <c r="K69" t="s">
        <v>29</v>
      </c>
    </row>
    <row r="70" spans="1:11">
      <c r="A70" t="s">
        <v>117</v>
      </c>
      <c r="B70" s="2">
        <v>46165</v>
      </c>
      <c r="C70" t="s">
        <v>36</v>
      </c>
      <c r="D70" t="s">
        <v>37</v>
      </c>
      <c r="E70">
        <v>1</v>
      </c>
      <c r="F70">
        <v>2500</v>
      </c>
      <c r="G70">
        <v>2500</v>
      </c>
      <c r="H70" t="s">
        <v>14</v>
      </c>
      <c r="I70" t="s">
        <v>25</v>
      </c>
      <c r="J70" t="s">
        <v>28</v>
      </c>
      <c r="K70" t="s">
        <v>29</v>
      </c>
    </row>
    <row r="71" spans="1:11">
      <c r="A71" t="s">
        <v>118</v>
      </c>
      <c r="B71" s="2">
        <v>46098</v>
      </c>
      <c r="C71" t="s">
        <v>27</v>
      </c>
      <c r="D71" t="s">
        <v>20</v>
      </c>
      <c r="E71">
        <v>1</v>
      </c>
      <c r="F71">
        <v>28000</v>
      </c>
      <c r="G71">
        <v>28000</v>
      </c>
      <c r="H71" t="s">
        <v>21</v>
      </c>
      <c r="I71" t="s">
        <v>25</v>
      </c>
      <c r="J71" t="s">
        <v>22</v>
      </c>
      <c r="K71" t="s">
        <v>48</v>
      </c>
    </row>
    <row r="72" spans="1:11">
      <c r="A72" t="s">
        <v>119</v>
      </c>
      <c r="B72" s="2">
        <v>46141</v>
      </c>
      <c r="C72" t="s">
        <v>54</v>
      </c>
      <c r="D72" t="s">
        <v>20</v>
      </c>
      <c r="E72">
        <v>3</v>
      </c>
      <c r="F72">
        <v>8000</v>
      </c>
      <c r="G72">
        <v>24000</v>
      </c>
      <c r="H72" t="s">
        <v>21</v>
      </c>
      <c r="I72" t="s">
        <v>25</v>
      </c>
      <c r="J72" t="s">
        <v>22</v>
      </c>
      <c r="K72" t="s">
        <v>23</v>
      </c>
    </row>
    <row r="73" spans="1:11">
      <c r="A73" t="s">
        <v>120</v>
      </c>
      <c r="B73" s="2">
        <v>46157</v>
      </c>
      <c r="C73" t="s">
        <v>19</v>
      </c>
      <c r="D73" t="s">
        <v>20</v>
      </c>
      <c r="E73">
        <v>1</v>
      </c>
      <c r="F73">
        <v>17500</v>
      </c>
      <c r="G73">
        <v>17500</v>
      </c>
      <c r="H73" t="s">
        <v>21</v>
      </c>
      <c r="I73" t="s">
        <v>25</v>
      </c>
      <c r="J73" t="s">
        <v>28</v>
      </c>
      <c r="K73" t="s">
        <v>48</v>
      </c>
    </row>
    <row r="74" spans="1:11">
      <c r="A74" t="s">
        <v>121</v>
      </c>
      <c r="B74" s="2">
        <v>46109</v>
      </c>
      <c r="C74" t="s">
        <v>114</v>
      </c>
      <c r="D74" t="s">
        <v>13</v>
      </c>
      <c r="E74">
        <v>3</v>
      </c>
      <c r="F74">
        <v>22000</v>
      </c>
      <c r="G74">
        <v>66000</v>
      </c>
      <c r="H74" t="s">
        <v>34</v>
      </c>
      <c r="I74" t="s">
        <v>25</v>
      </c>
      <c r="J74" t="s">
        <v>47</v>
      </c>
      <c r="K74" t="s">
        <v>17</v>
      </c>
    </row>
    <row r="75" spans="1:11">
      <c r="A75" t="s">
        <v>122</v>
      </c>
      <c r="B75" s="2">
        <v>46079</v>
      </c>
      <c r="C75" t="s">
        <v>67</v>
      </c>
      <c r="D75" t="s">
        <v>68</v>
      </c>
      <c r="E75">
        <v>2</v>
      </c>
      <c r="F75">
        <v>6500</v>
      </c>
      <c r="G75">
        <v>13000</v>
      </c>
      <c r="H75" t="s">
        <v>21</v>
      </c>
      <c r="I75" t="s">
        <v>15</v>
      </c>
      <c r="J75" t="s">
        <v>28</v>
      </c>
      <c r="K75" t="s">
        <v>29</v>
      </c>
    </row>
    <row r="76" spans="1:11">
      <c r="A76" t="s">
        <v>123</v>
      </c>
      <c r="B76" s="2">
        <v>46081</v>
      </c>
      <c r="C76" t="s">
        <v>70</v>
      </c>
      <c r="D76" t="s">
        <v>68</v>
      </c>
      <c r="E76">
        <v>4</v>
      </c>
      <c r="F76">
        <v>12000</v>
      </c>
      <c r="G76">
        <v>48000</v>
      </c>
      <c r="H76" t="s">
        <v>41</v>
      </c>
      <c r="I76" t="s">
        <v>25</v>
      </c>
      <c r="J76" t="s">
        <v>16</v>
      </c>
      <c r="K76" t="s">
        <v>48</v>
      </c>
    </row>
    <row r="77" spans="1:11">
      <c r="A77" t="s">
        <v>124</v>
      </c>
      <c r="B77" s="2">
        <v>46096</v>
      </c>
      <c r="C77" t="s">
        <v>70</v>
      </c>
      <c r="D77" t="s">
        <v>68</v>
      </c>
      <c r="E77">
        <v>3</v>
      </c>
      <c r="F77">
        <v>12000</v>
      </c>
      <c r="G77">
        <v>36000</v>
      </c>
      <c r="H77" t="s">
        <v>14</v>
      </c>
      <c r="I77" t="s">
        <v>25</v>
      </c>
      <c r="J77" t="s">
        <v>28</v>
      </c>
      <c r="K77" t="s">
        <v>17</v>
      </c>
    </row>
    <row r="78" spans="1:11">
      <c r="A78" t="s">
        <v>125</v>
      </c>
      <c r="B78" s="2">
        <v>46123</v>
      </c>
      <c r="C78" t="s">
        <v>32</v>
      </c>
      <c r="D78" t="s">
        <v>33</v>
      </c>
      <c r="E78">
        <v>2</v>
      </c>
      <c r="F78">
        <v>18000</v>
      </c>
      <c r="G78">
        <v>36000</v>
      </c>
      <c r="H78" t="s">
        <v>34</v>
      </c>
      <c r="I78" t="s">
        <v>15</v>
      </c>
      <c r="J78" t="s">
        <v>28</v>
      </c>
      <c r="K78" t="s">
        <v>48</v>
      </c>
    </row>
    <row r="79" spans="1:11">
      <c r="A79" t="s">
        <v>126</v>
      </c>
      <c r="B79" s="2">
        <v>46088</v>
      </c>
      <c r="C79" t="s">
        <v>39</v>
      </c>
      <c r="D79" t="s">
        <v>37</v>
      </c>
      <c r="E79">
        <v>1</v>
      </c>
      <c r="F79">
        <v>1800</v>
      </c>
      <c r="G79">
        <v>1800</v>
      </c>
      <c r="H79" t="s">
        <v>34</v>
      </c>
      <c r="I79" t="s">
        <v>25</v>
      </c>
      <c r="J79" t="s">
        <v>47</v>
      </c>
      <c r="K79" t="s">
        <v>17</v>
      </c>
    </row>
    <row r="80" spans="1:11">
      <c r="A80" t="s">
        <v>127</v>
      </c>
      <c r="B80" s="2">
        <v>46140</v>
      </c>
      <c r="C80" t="s">
        <v>128</v>
      </c>
      <c r="D80" t="s">
        <v>13</v>
      </c>
      <c r="E80">
        <v>3</v>
      </c>
      <c r="F80">
        <v>18500</v>
      </c>
      <c r="G80">
        <v>55500</v>
      </c>
      <c r="H80" t="s">
        <v>21</v>
      </c>
      <c r="I80" t="s">
        <v>25</v>
      </c>
      <c r="J80" t="s">
        <v>22</v>
      </c>
      <c r="K80" t="s">
        <v>17</v>
      </c>
    </row>
    <row r="81" spans="1:11">
      <c r="A81" t="s">
        <v>129</v>
      </c>
      <c r="B81" s="2">
        <v>46108</v>
      </c>
      <c r="C81" t="s">
        <v>65</v>
      </c>
      <c r="D81" t="s">
        <v>33</v>
      </c>
      <c r="E81">
        <v>2</v>
      </c>
      <c r="F81">
        <v>4500</v>
      </c>
      <c r="G81">
        <v>9000</v>
      </c>
      <c r="H81" t="s">
        <v>34</v>
      </c>
      <c r="I81" t="s">
        <v>25</v>
      </c>
      <c r="J81" t="s">
        <v>22</v>
      </c>
      <c r="K81" t="s">
        <v>17</v>
      </c>
    </row>
    <row r="82" spans="1:11">
      <c r="A82" t="s">
        <v>130</v>
      </c>
      <c r="B82" s="2">
        <v>46055</v>
      </c>
      <c r="C82" t="s">
        <v>43</v>
      </c>
      <c r="D82" t="s">
        <v>20</v>
      </c>
      <c r="E82">
        <v>2</v>
      </c>
      <c r="F82">
        <v>9500</v>
      </c>
      <c r="G82">
        <v>19000</v>
      </c>
      <c r="H82" t="s">
        <v>34</v>
      </c>
      <c r="I82" t="s">
        <v>25</v>
      </c>
      <c r="J82" t="s">
        <v>44</v>
      </c>
      <c r="K82" t="s">
        <v>29</v>
      </c>
    </row>
    <row r="83" spans="1:11">
      <c r="A83" t="s">
        <v>131</v>
      </c>
      <c r="B83" s="2">
        <v>46160</v>
      </c>
      <c r="C83" t="s">
        <v>61</v>
      </c>
      <c r="D83" t="s">
        <v>37</v>
      </c>
      <c r="E83">
        <v>4</v>
      </c>
      <c r="F83">
        <v>5500</v>
      </c>
      <c r="G83">
        <v>22000</v>
      </c>
      <c r="H83" t="s">
        <v>21</v>
      </c>
      <c r="I83" t="s">
        <v>25</v>
      </c>
      <c r="J83" t="s">
        <v>28</v>
      </c>
      <c r="K83" t="s">
        <v>23</v>
      </c>
    </row>
    <row r="84" spans="1:11">
      <c r="A84" t="s">
        <v>132</v>
      </c>
      <c r="B84" s="2">
        <v>46135</v>
      </c>
      <c r="C84" t="s">
        <v>72</v>
      </c>
      <c r="D84" t="s">
        <v>13</v>
      </c>
      <c r="E84">
        <v>2</v>
      </c>
      <c r="F84">
        <v>18500</v>
      </c>
      <c r="G84">
        <v>37000</v>
      </c>
      <c r="H84" t="s">
        <v>14</v>
      </c>
      <c r="I84" t="s">
        <v>25</v>
      </c>
      <c r="J84" t="s">
        <v>28</v>
      </c>
      <c r="K84" t="s">
        <v>23</v>
      </c>
    </row>
    <row r="85" spans="1:11">
      <c r="A85" t="s">
        <v>133</v>
      </c>
      <c r="B85" s="2">
        <v>46155</v>
      </c>
      <c r="C85" t="s">
        <v>19</v>
      </c>
      <c r="D85" t="s">
        <v>20</v>
      </c>
      <c r="E85">
        <v>2</v>
      </c>
      <c r="F85">
        <v>17500</v>
      </c>
      <c r="G85">
        <v>35000</v>
      </c>
      <c r="H85" t="s">
        <v>21</v>
      </c>
      <c r="I85" t="s">
        <v>25</v>
      </c>
      <c r="J85" t="s">
        <v>16</v>
      </c>
      <c r="K85" t="s">
        <v>29</v>
      </c>
    </row>
    <row r="86" spans="1:11">
      <c r="A86" t="s">
        <v>134</v>
      </c>
      <c r="B86" s="2">
        <v>46122</v>
      </c>
      <c r="C86" t="s">
        <v>12</v>
      </c>
      <c r="D86" t="s">
        <v>13</v>
      </c>
      <c r="E86">
        <v>2</v>
      </c>
      <c r="F86">
        <v>7500</v>
      </c>
      <c r="G86">
        <v>15000</v>
      </c>
      <c r="H86" t="s">
        <v>14</v>
      </c>
      <c r="I86" t="s">
        <v>15</v>
      </c>
      <c r="J86" t="s">
        <v>44</v>
      </c>
      <c r="K86" t="s">
        <v>29</v>
      </c>
    </row>
    <row r="87" spans="1:11">
      <c r="A87" t="s">
        <v>135</v>
      </c>
      <c r="B87" s="2">
        <v>46080</v>
      </c>
      <c r="C87" t="s">
        <v>56</v>
      </c>
      <c r="D87" t="s">
        <v>33</v>
      </c>
      <c r="E87">
        <v>4</v>
      </c>
      <c r="F87">
        <v>14500</v>
      </c>
      <c r="G87">
        <v>58000</v>
      </c>
      <c r="H87" t="s">
        <v>41</v>
      </c>
      <c r="I87" t="s">
        <v>25</v>
      </c>
      <c r="J87" t="s">
        <v>22</v>
      </c>
      <c r="K87" t="s">
        <v>17</v>
      </c>
    </row>
    <row r="88" spans="1:11">
      <c r="A88" t="s">
        <v>136</v>
      </c>
      <c r="B88" s="2">
        <v>46067</v>
      </c>
      <c r="C88" t="s">
        <v>43</v>
      </c>
      <c r="D88" t="s">
        <v>20</v>
      </c>
      <c r="E88">
        <v>2</v>
      </c>
      <c r="F88">
        <v>9500</v>
      </c>
      <c r="G88">
        <v>19000</v>
      </c>
      <c r="H88" t="s">
        <v>14</v>
      </c>
      <c r="I88" t="s">
        <v>25</v>
      </c>
      <c r="J88" t="s">
        <v>47</v>
      </c>
      <c r="K88" t="s">
        <v>23</v>
      </c>
    </row>
    <row r="89" spans="1:11">
      <c r="A89" t="s">
        <v>137</v>
      </c>
      <c r="B89" s="2">
        <v>46170</v>
      </c>
      <c r="C89" t="s">
        <v>114</v>
      </c>
      <c r="D89" t="s">
        <v>13</v>
      </c>
      <c r="E89">
        <v>2</v>
      </c>
      <c r="F89">
        <v>22000</v>
      </c>
      <c r="G89">
        <v>44000</v>
      </c>
      <c r="H89" t="s">
        <v>21</v>
      </c>
      <c r="I89" t="s">
        <v>25</v>
      </c>
      <c r="J89" t="s">
        <v>28</v>
      </c>
      <c r="K89" t="s">
        <v>29</v>
      </c>
    </row>
    <row r="90" spans="1:11">
      <c r="A90" t="s">
        <v>138</v>
      </c>
      <c r="B90" s="2">
        <v>46086</v>
      </c>
      <c r="C90" t="s">
        <v>67</v>
      </c>
      <c r="D90" t="s">
        <v>68</v>
      </c>
      <c r="E90">
        <v>4</v>
      </c>
      <c r="F90">
        <v>6500</v>
      </c>
      <c r="G90">
        <v>26000</v>
      </c>
      <c r="H90" t="s">
        <v>21</v>
      </c>
      <c r="I90" t="s">
        <v>25</v>
      </c>
      <c r="J90" t="s">
        <v>28</v>
      </c>
      <c r="K90" t="s">
        <v>23</v>
      </c>
    </row>
    <row r="91" spans="1:11">
      <c r="A91" t="s">
        <v>139</v>
      </c>
      <c r="B91" s="2">
        <v>46071</v>
      </c>
      <c r="C91" t="s">
        <v>27</v>
      </c>
      <c r="D91" t="s">
        <v>20</v>
      </c>
      <c r="E91">
        <v>4</v>
      </c>
      <c r="F91">
        <v>28000</v>
      </c>
      <c r="G91">
        <v>112000</v>
      </c>
      <c r="H91" t="s">
        <v>14</v>
      </c>
      <c r="I91" t="s">
        <v>25</v>
      </c>
      <c r="J91" t="s">
        <v>28</v>
      </c>
      <c r="K91" t="s">
        <v>29</v>
      </c>
    </row>
    <row r="92" spans="1:11">
      <c r="A92" t="s">
        <v>140</v>
      </c>
      <c r="B92" s="2">
        <v>46079</v>
      </c>
      <c r="C92" t="s">
        <v>54</v>
      </c>
      <c r="D92" t="s">
        <v>20</v>
      </c>
      <c r="E92">
        <v>4</v>
      </c>
      <c r="F92">
        <v>8000</v>
      </c>
      <c r="G92">
        <v>32000</v>
      </c>
      <c r="H92" t="s">
        <v>34</v>
      </c>
      <c r="I92" t="s">
        <v>25</v>
      </c>
      <c r="J92" t="s">
        <v>16</v>
      </c>
      <c r="K92" t="s">
        <v>17</v>
      </c>
    </row>
    <row r="93" spans="1:11">
      <c r="A93" t="s">
        <v>141</v>
      </c>
      <c r="B93" s="2">
        <v>46128</v>
      </c>
      <c r="C93" t="s">
        <v>32</v>
      </c>
      <c r="D93" t="s">
        <v>33</v>
      </c>
      <c r="E93">
        <v>2</v>
      </c>
      <c r="F93">
        <v>18000</v>
      </c>
      <c r="G93">
        <v>36000</v>
      </c>
      <c r="H93" t="s">
        <v>14</v>
      </c>
      <c r="I93" t="s">
        <v>25</v>
      </c>
      <c r="J93" t="s">
        <v>22</v>
      </c>
      <c r="K93" t="s">
        <v>29</v>
      </c>
    </row>
    <row r="94" spans="1:11">
      <c r="A94" t="s">
        <v>142</v>
      </c>
      <c r="B94" s="2">
        <v>46163</v>
      </c>
      <c r="C94" t="s">
        <v>36</v>
      </c>
      <c r="D94" t="s">
        <v>37</v>
      </c>
      <c r="E94">
        <v>1</v>
      </c>
      <c r="F94">
        <v>2500</v>
      </c>
      <c r="G94">
        <v>2500</v>
      </c>
      <c r="H94" t="s">
        <v>34</v>
      </c>
      <c r="I94" t="s">
        <v>25</v>
      </c>
      <c r="J94" t="s">
        <v>28</v>
      </c>
      <c r="K94" t="s">
        <v>29</v>
      </c>
    </row>
    <row r="95" spans="1:11">
      <c r="A95" t="s">
        <v>143</v>
      </c>
      <c r="B95" s="2">
        <v>46063</v>
      </c>
      <c r="C95" t="s">
        <v>67</v>
      </c>
      <c r="D95" t="s">
        <v>68</v>
      </c>
      <c r="E95">
        <v>2</v>
      </c>
      <c r="F95">
        <v>6500</v>
      </c>
      <c r="G95">
        <v>13000</v>
      </c>
      <c r="H95" t="s">
        <v>41</v>
      </c>
      <c r="I95" t="s">
        <v>25</v>
      </c>
      <c r="J95" t="s">
        <v>16</v>
      </c>
      <c r="K95" t="s">
        <v>17</v>
      </c>
    </row>
    <row r="96" spans="1:11">
      <c r="A96" t="s">
        <v>144</v>
      </c>
      <c r="B96" s="2">
        <v>46172</v>
      </c>
      <c r="C96" t="s">
        <v>27</v>
      </c>
      <c r="D96" t="s">
        <v>20</v>
      </c>
      <c r="E96">
        <v>1</v>
      </c>
      <c r="F96">
        <v>28000</v>
      </c>
      <c r="G96">
        <v>28000</v>
      </c>
      <c r="H96" t="s">
        <v>41</v>
      </c>
      <c r="I96" t="s">
        <v>15</v>
      </c>
      <c r="J96" t="s">
        <v>47</v>
      </c>
      <c r="K96" t="s">
        <v>48</v>
      </c>
    </row>
    <row r="97" spans="1:11">
      <c r="A97" t="s">
        <v>145</v>
      </c>
      <c r="B97" s="2">
        <v>46119</v>
      </c>
      <c r="C97" t="s">
        <v>56</v>
      </c>
      <c r="D97" t="s">
        <v>33</v>
      </c>
      <c r="E97">
        <v>4</v>
      </c>
      <c r="F97">
        <v>14500</v>
      </c>
      <c r="G97">
        <v>58000</v>
      </c>
      <c r="H97" t="s">
        <v>41</v>
      </c>
      <c r="I97" t="s">
        <v>15</v>
      </c>
      <c r="J97" t="s">
        <v>28</v>
      </c>
      <c r="K97" t="s">
        <v>17</v>
      </c>
    </row>
    <row r="98" spans="1:11">
      <c r="A98" t="s">
        <v>146</v>
      </c>
      <c r="B98" s="2">
        <v>46100</v>
      </c>
      <c r="C98" t="s">
        <v>114</v>
      </c>
      <c r="D98" t="s">
        <v>147</v>
      </c>
      <c r="E98">
        <v>3</v>
      </c>
      <c r="F98">
        <v>22000</v>
      </c>
      <c r="G98">
        <v>66000</v>
      </c>
      <c r="H98" t="s">
        <v>21</v>
      </c>
      <c r="I98" t="s">
        <v>15</v>
      </c>
      <c r="J98" t="s">
        <v>44</v>
      </c>
      <c r="K98" t="s">
        <v>48</v>
      </c>
    </row>
    <row r="99" spans="1:11">
      <c r="A99" t="s">
        <v>148</v>
      </c>
      <c r="B99" s="2">
        <v>46070</v>
      </c>
      <c r="C99" t="s">
        <v>43</v>
      </c>
      <c r="D99" t="s">
        <v>20</v>
      </c>
      <c r="E99">
        <v>2</v>
      </c>
      <c r="F99">
        <v>9500</v>
      </c>
      <c r="G99">
        <v>19000</v>
      </c>
      <c r="H99" t="s">
        <v>14</v>
      </c>
      <c r="I99" t="s">
        <v>15</v>
      </c>
      <c r="J99" t="s">
        <v>28</v>
      </c>
      <c r="K99" t="s">
        <v>29</v>
      </c>
    </row>
    <row r="100" spans="1:11">
      <c r="A100" t="s">
        <v>149</v>
      </c>
      <c r="B100" s="2">
        <v>46071</v>
      </c>
      <c r="C100" t="s">
        <v>54</v>
      </c>
      <c r="D100" t="s">
        <v>20</v>
      </c>
      <c r="E100">
        <v>2</v>
      </c>
      <c r="F100">
        <v>8000</v>
      </c>
      <c r="G100">
        <v>16000</v>
      </c>
      <c r="H100" t="s">
        <v>34</v>
      </c>
      <c r="I100" t="s">
        <v>25</v>
      </c>
      <c r="J100" t="s">
        <v>44</v>
      </c>
      <c r="K100" t="s">
        <v>17</v>
      </c>
    </row>
    <row r="101" spans="1:11">
      <c r="A101" t="s">
        <v>150</v>
      </c>
      <c r="B101" s="2">
        <v>46142</v>
      </c>
      <c r="C101" t="s">
        <v>114</v>
      </c>
      <c r="D101" t="s">
        <v>13</v>
      </c>
      <c r="E101">
        <v>2</v>
      </c>
      <c r="F101">
        <v>22000</v>
      </c>
      <c r="G101">
        <v>44000</v>
      </c>
      <c r="H101" t="s">
        <v>14</v>
      </c>
      <c r="I101" t="s">
        <v>15</v>
      </c>
      <c r="J101" t="s">
        <v>44</v>
      </c>
      <c r="K101" t="s">
        <v>17</v>
      </c>
    </row>
    <row r="102" spans="1:11">
      <c r="A102" t="s">
        <v>151</v>
      </c>
      <c r="B102" s="2">
        <v>46170</v>
      </c>
      <c r="C102" t="s">
        <v>27</v>
      </c>
      <c r="D102" t="s">
        <v>20</v>
      </c>
      <c r="E102">
        <v>4</v>
      </c>
      <c r="F102">
        <v>28000</v>
      </c>
      <c r="G102">
        <v>112000</v>
      </c>
      <c r="H102" t="s">
        <v>14</v>
      </c>
      <c r="I102" t="s">
        <v>25</v>
      </c>
      <c r="J102" t="s">
        <v>44</v>
      </c>
      <c r="K102" t="s">
        <v>29</v>
      </c>
    </row>
    <row r="103" spans="1:11">
      <c r="A103" t="s">
        <v>152</v>
      </c>
      <c r="B103" s="2">
        <v>46113</v>
      </c>
      <c r="C103" t="s">
        <v>65</v>
      </c>
      <c r="D103" t="s">
        <v>33</v>
      </c>
      <c r="E103">
        <v>1</v>
      </c>
      <c r="F103">
        <v>4500</v>
      </c>
      <c r="G103">
        <v>4500</v>
      </c>
      <c r="H103" t="s">
        <v>21</v>
      </c>
      <c r="I103" t="s">
        <v>15</v>
      </c>
      <c r="J103" t="s">
        <v>28</v>
      </c>
      <c r="K103" t="s">
        <v>48</v>
      </c>
    </row>
    <row r="104" spans="1:11">
      <c r="A104" t="s">
        <v>153</v>
      </c>
      <c r="B104" s="2">
        <v>46114</v>
      </c>
      <c r="C104" t="s">
        <v>43</v>
      </c>
      <c r="D104" t="s">
        <v>20</v>
      </c>
      <c r="E104">
        <v>1</v>
      </c>
      <c r="F104">
        <v>9500</v>
      </c>
      <c r="G104">
        <v>9500</v>
      </c>
      <c r="H104" t="s">
        <v>14</v>
      </c>
      <c r="I104" t="s">
        <v>15</v>
      </c>
      <c r="J104" t="s">
        <v>22</v>
      </c>
      <c r="K104" t="s">
        <v>29</v>
      </c>
    </row>
    <row r="105" spans="1:11">
      <c r="A105" t="s">
        <v>154</v>
      </c>
      <c r="B105" s="2">
        <v>46096</v>
      </c>
      <c r="C105" t="s">
        <v>61</v>
      </c>
      <c r="D105" t="s">
        <v>37</v>
      </c>
      <c r="E105">
        <v>3</v>
      </c>
      <c r="F105">
        <v>5500</v>
      </c>
      <c r="G105">
        <v>16500</v>
      </c>
      <c r="H105" t="s">
        <v>14</v>
      </c>
      <c r="I105" t="s">
        <v>15</v>
      </c>
      <c r="J105" t="s">
        <v>16</v>
      </c>
      <c r="K105" t="s">
        <v>48</v>
      </c>
    </row>
    <row r="106" spans="1:11">
      <c r="A106" t="s">
        <v>155</v>
      </c>
      <c r="B106" s="2">
        <v>46108</v>
      </c>
      <c r="C106" t="s">
        <v>54</v>
      </c>
      <c r="D106" t="s">
        <v>20</v>
      </c>
      <c r="E106">
        <v>1</v>
      </c>
      <c r="F106">
        <v>8000</v>
      </c>
      <c r="G106">
        <v>8000</v>
      </c>
      <c r="H106" t="s">
        <v>21</v>
      </c>
      <c r="I106" t="s">
        <v>15</v>
      </c>
      <c r="J106" t="s">
        <v>44</v>
      </c>
      <c r="K106" t="s">
        <v>48</v>
      </c>
    </row>
    <row r="107" spans="1:11">
      <c r="A107" t="s">
        <v>156</v>
      </c>
      <c r="B107" s="2">
        <v>46081</v>
      </c>
      <c r="C107" t="s">
        <v>56</v>
      </c>
      <c r="D107" t="s">
        <v>33</v>
      </c>
      <c r="E107">
        <v>4</v>
      </c>
      <c r="F107">
        <v>14500</v>
      </c>
      <c r="G107">
        <v>58000</v>
      </c>
      <c r="H107" t="s">
        <v>34</v>
      </c>
      <c r="I107" t="s">
        <v>15</v>
      </c>
      <c r="J107" t="s">
        <v>16</v>
      </c>
      <c r="K107" t="s">
        <v>17</v>
      </c>
    </row>
    <row r="108" spans="1:11">
      <c r="A108" t="s">
        <v>157</v>
      </c>
      <c r="B108" s="2">
        <v>46112</v>
      </c>
      <c r="C108" t="s">
        <v>43</v>
      </c>
      <c r="D108" t="s">
        <v>20</v>
      </c>
      <c r="E108">
        <v>4</v>
      </c>
      <c r="F108">
        <v>9500</v>
      </c>
      <c r="G108">
        <v>38000</v>
      </c>
      <c r="H108" t="s">
        <v>34</v>
      </c>
      <c r="I108" t="s">
        <v>15</v>
      </c>
      <c r="J108" t="s">
        <v>28</v>
      </c>
      <c r="K108" t="s">
        <v>17</v>
      </c>
    </row>
    <row r="109" spans="1:11">
      <c r="A109" t="s">
        <v>158</v>
      </c>
      <c r="B109" s="2">
        <v>46065</v>
      </c>
      <c r="C109" t="s">
        <v>65</v>
      </c>
      <c r="D109" t="s">
        <v>33</v>
      </c>
      <c r="E109">
        <v>4</v>
      </c>
      <c r="F109">
        <v>4500</v>
      </c>
      <c r="G109">
        <v>18000</v>
      </c>
      <c r="H109" t="s">
        <v>41</v>
      </c>
      <c r="I109" t="s">
        <v>15</v>
      </c>
      <c r="J109" t="s">
        <v>22</v>
      </c>
      <c r="K109" t="s">
        <v>23</v>
      </c>
    </row>
    <row r="110" spans="1:11">
      <c r="A110" t="s">
        <v>159</v>
      </c>
      <c r="B110" s="2">
        <v>46068</v>
      </c>
      <c r="C110" t="s">
        <v>67</v>
      </c>
      <c r="D110" t="s">
        <v>68</v>
      </c>
      <c r="E110">
        <v>2</v>
      </c>
      <c r="F110">
        <v>6500</v>
      </c>
      <c r="G110">
        <v>13000</v>
      </c>
      <c r="H110" t="s">
        <v>41</v>
      </c>
      <c r="I110" t="s">
        <v>15</v>
      </c>
      <c r="J110" t="s">
        <v>47</v>
      </c>
      <c r="K110" t="s">
        <v>48</v>
      </c>
    </row>
    <row r="111" spans="1:11">
      <c r="A111" t="s">
        <v>160</v>
      </c>
      <c r="B111" s="2">
        <v>46057</v>
      </c>
      <c r="C111" t="s">
        <v>65</v>
      </c>
      <c r="D111" t="s">
        <v>33</v>
      </c>
      <c r="E111">
        <v>4</v>
      </c>
      <c r="F111">
        <v>4500</v>
      </c>
      <c r="G111">
        <v>18000</v>
      </c>
      <c r="H111" t="s">
        <v>41</v>
      </c>
      <c r="I111" t="s">
        <v>25</v>
      </c>
      <c r="J111" t="s">
        <v>28</v>
      </c>
      <c r="K111" t="s">
        <v>29</v>
      </c>
    </row>
    <row r="112" spans="1:11">
      <c r="A112" t="s">
        <v>161</v>
      </c>
      <c r="B112" s="2">
        <v>46115</v>
      </c>
      <c r="C112" t="s">
        <v>70</v>
      </c>
      <c r="D112" t="s">
        <v>68</v>
      </c>
      <c r="E112">
        <v>1</v>
      </c>
      <c r="F112">
        <v>12000</v>
      </c>
      <c r="G112">
        <v>12000</v>
      </c>
      <c r="H112" t="s">
        <v>21</v>
      </c>
      <c r="I112" t="s">
        <v>25</v>
      </c>
      <c r="J112" t="s">
        <v>28</v>
      </c>
      <c r="K112" t="s">
        <v>17</v>
      </c>
    </row>
    <row r="113" spans="1:11">
      <c r="A113" t="s">
        <v>162</v>
      </c>
      <c r="B113" s="2">
        <v>46155</v>
      </c>
      <c r="C113" t="s">
        <v>114</v>
      </c>
      <c r="D113" t="s">
        <v>13</v>
      </c>
      <c r="E113">
        <v>1</v>
      </c>
      <c r="F113">
        <v>22000</v>
      </c>
      <c r="G113">
        <v>22000</v>
      </c>
      <c r="H113" t="s">
        <v>41</v>
      </c>
      <c r="I113" t="s">
        <v>15</v>
      </c>
      <c r="J113" t="s">
        <v>28</v>
      </c>
      <c r="K113" t="s">
        <v>17</v>
      </c>
    </row>
    <row r="114" spans="1:11">
      <c r="A114" t="s">
        <v>163</v>
      </c>
      <c r="B114" s="2">
        <v>46173</v>
      </c>
      <c r="C114" t="s">
        <v>70</v>
      </c>
      <c r="D114" t="s">
        <v>68</v>
      </c>
      <c r="E114">
        <v>1</v>
      </c>
      <c r="F114">
        <v>12000</v>
      </c>
      <c r="G114">
        <v>12000</v>
      </c>
      <c r="H114" t="s">
        <v>164</v>
      </c>
      <c r="I114" t="s">
        <v>25</v>
      </c>
      <c r="J114" t="s">
        <v>22</v>
      </c>
      <c r="K114" t="s">
        <v>17</v>
      </c>
    </row>
    <row r="115" spans="1:11">
      <c r="A115" t="s">
        <v>165</v>
      </c>
      <c r="B115" s="2">
        <v>46123</v>
      </c>
      <c r="C115" t="s">
        <v>36</v>
      </c>
      <c r="D115" t="s">
        <v>37</v>
      </c>
      <c r="E115">
        <v>3</v>
      </c>
      <c r="F115">
        <v>2500</v>
      </c>
      <c r="G115">
        <v>7500</v>
      </c>
      <c r="H115" t="s">
        <v>14</v>
      </c>
      <c r="I115" t="s">
        <v>25</v>
      </c>
      <c r="J115" t="s">
        <v>28</v>
      </c>
      <c r="K115" t="s">
        <v>23</v>
      </c>
    </row>
    <row r="116" spans="1:11">
      <c r="A116" t="s">
        <v>166</v>
      </c>
      <c r="B116" s="2">
        <v>46062</v>
      </c>
      <c r="C116" t="s">
        <v>12</v>
      </c>
      <c r="D116" t="s">
        <v>13</v>
      </c>
      <c r="E116">
        <v>1</v>
      </c>
      <c r="F116">
        <v>7500</v>
      </c>
      <c r="G116">
        <v>7500</v>
      </c>
      <c r="H116" t="s">
        <v>21</v>
      </c>
      <c r="I116" t="s">
        <v>15</v>
      </c>
      <c r="J116" t="s">
        <v>47</v>
      </c>
      <c r="K116" t="s">
        <v>17</v>
      </c>
    </row>
    <row r="117" spans="1:11">
      <c r="A117" t="s">
        <v>167</v>
      </c>
      <c r="B117" s="2">
        <v>46123</v>
      </c>
      <c r="C117" t="s">
        <v>61</v>
      </c>
      <c r="D117" t="s">
        <v>37</v>
      </c>
      <c r="E117">
        <v>4</v>
      </c>
      <c r="F117">
        <v>5500</v>
      </c>
      <c r="G117">
        <v>22000</v>
      </c>
      <c r="H117" t="s">
        <v>14</v>
      </c>
      <c r="I117" t="s">
        <v>15</v>
      </c>
      <c r="J117" t="s">
        <v>28</v>
      </c>
      <c r="K117" t="s">
        <v>48</v>
      </c>
    </row>
    <row r="118" spans="1:11">
      <c r="A118" t="s">
        <v>168</v>
      </c>
      <c r="B118" s="2">
        <v>46104</v>
      </c>
      <c r="C118" t="s">
        <v>72</v>
      </c>
      <c r="D118" t="s">
        <v>13</v>
      </c>
      <c r="E118">
        <v>1</v>
      </c>
      <c r="F118">
        <v>18500</v>
      </c>
      <c r="G118">
        <v>18500</v>
      </c>
      <c r="H118" t="s">
        <v>14</v>
      </c>
      <c r="I118" t="s">
        <v>15</v>
      </c>
      <c r="J118" t="s">
        <v>16</v>
      </c>
      <c r="K118" t="s">
        <v>29</v>
      </c>
    </row>
    <row r="119" spans="1:11">
      <c r="A119" t="s">
        <v>169</v>
      </c>
      <c r="B119" s="2">
        <v>46149</v>
      </c>
      <c r="C119" t="s">
        <v>72</v>
      </c>
      <c r="D119" t="s">
        <v>13</v>
      </c>
      <c r="E119">
        <v>1</v>
      </c>
      <c r="F119">
        <v>18500</v>
      </c>
      <c r="G119">
        <v>18500</v>
      </c>
      <c r="H119" t="s">
        <v>14</v>
      </c>
      <c r="I119" t="s">
        <v>15</v>
      </c>
      <c r="J119" t="s">
        <v>28</v>
      </c>
      <c r="K119" t="s">
        <v>48</v>
      </c>
    </row>
    <row r="120" spans="1:11">
      <c r="A120" t="s">
        <v>170</v>
      </c>
      <c r="B120" s="2">
        <v>46084</v>
      </c>
      <c r="C120" t="s">
        <v>32</v>
      </c>
      <c r="D120" t="s">
        <v>33</v>
      </c>
      <c r="E120">
        <v>4</v>
      </c>
      <c r="F120">
        <v>18000</v>
      </c>
      <c r="G120">
        <v>72000</v>
      </c>
      <c r="H120" t="s">
        <v>34</v>
      </c>
      <c r="I120" t="s">
        <v>25</v>
      </c>
      <c r="J120" t="s">
        <v>44</v>
      </c>
      <c r="K120" t="s">
        <v>17</v>
      </c>
    </row>
    <row r="121" spans="1:11">
      <c r="A121" t="s">
        <v>171</v>
      </c>
      <c r="B121" s="2">
        <v>46107</v>
      </c>
      <c r="C121" t="s">
        <v>56</v>
      </c>
      <c r="D121" t="s">
        <v>33</v>
      </c>
      <c r="E121">
        <v>3</v>
      </c>
      <c r="F121">
        <v>14500</v>
      </c>
      <c r="G121">
        <v>43500</v>
      </c>
      <c r="H121" t="s">
        <v>14</v>
      </c>
      <c r="I121" t="s">
        <v>25</v>
      </c>
      <c r="J121" t="s">
        <v>44</v>
      </c>
      <c r="K121" t="s">
        <v>48</v>
      </c>
    </row>
    <row r="122" spans="1:11">
      <c r="A122" t="s">
        <v>172</v>
      </c>
      <c r="B122" s="2">
        <v>46152</v>
      </c>
      <c r="C122" t="s">
        <v>36</v>
      </c>
      <c r="D122" t="s">
        <v>37</v>
      </c>
      <c r="E122">
        <v>2</v>
      </c>
      <c r="F122">
        <v>2500</v>
      </c>
      <c r="G122">
        <v>5000</v>
      </c>
      <c r="H122" t="s">
        <v>14</v>
      </c>
      <c r="I122" t="s">
        <v>25</v>
      </c>
      <c r="J122" t="s">
        <v>16</v>
      </c>
      <c r="K122" t="s">
        <v>17</v>
      </c>
    </row>
    <row r="123" spans="1:11">
      <c r="A123" t="s">
        <v>173</v>
      </c>
      <c r="B123" s="2">
        <v>46117</v>
      </c>
      <c r="C123" t="s">
        <v>36</v>
      </c>
      <c r="D123" t="s">
        <v>37</v>
      </c>
      <c r="E123">
        <v>1</v>
      </c>
      <c r="F123">
        <v>2500</v>
      </c>
      <c r="G123">
        <v>2500</v>
      </c>
      <c r="H123" t="s">
        <v>41</v>
      </c>
      <c r="I123" t="s">
        <v>25</v>
      </c>
      <c r="J123" t="s">
        <v>22</v>
      </c>
      <c r="K123" t="s">
        <v>17</v>
      </c>
    </row>
    <row r="124" spans="1:11">
      <c r="A124" t="s">
        <v>174</v>
      </c>
      <c r="B124" s="2">
        <v>46091</v>
      </c>
      <c r="C124" t="s">
        <v>19</v>
      </c>
      <c r="D124" t="s">
        <v>20</v>
      </c>
      <c r="E124">
        <v>2</v>
      </c>
      <c r="F124">
        <v>17500</v>
      </c>
      <c r="G124">
        <v>35000</v>
      </c>
      <c r="H124" t="s">
        <v>41</v>
      </c>
      <c r="I124" t="s">
        <v>25</v>
      </c>
      <c r="J124" t="s">
        <v>28</v>
      </c>
      <c r="K124" t="s">
        <v>17</v>
      </c>
    </row>
    <row r="125" spans="1:11">
      <c r="A125" t="s">
        <v>175</v>
      </c>
      <c r="B125" s="2">
        <v>46099</v>
      </c>
      <c r="C125" t="s">
        <v>54</v>
      </c>
      <c r="D125" t="s">
        <v>20</v>
      </c>
      <c r="E125">
        <v>1</v>
      </c>
      <c r="F125">
        <v>8000</v>
      </c>
      <c r="G125">
        <v>8000</v>
      </c>
      <c r="H125" t="s">
        <v>41</v>
      </c>
      <c r="I125" t="s">
        <v>15</v>
      </c>
      <c r="J125" t="s">
        <v>16</v>
      </c>
      <c r="K125" t="s">
        <v>29</v>
      </c>
    </row>
    <row r="126" spans="1:11">
      <c r="A126" t="s">
        <v>176</v>
      </c>
      <c r="B126" s="2">
        <v>46129</v>
      </c>
      <c r="C126" t="s">
        <v>19</v>
      </c>
      <c r="D126" t="s">
        <v>20</v>
      </c>
      <c r="E126">
        <v>2</v>
      </c>
      <c r="F126">
        <v>17500</v>
      </c>
      <c r="G126">
        <v>35000</v>
      </c>
      <c r="H126" t="s">
        <v>14</v>
      </c>
      <c r="I126" t="s">
        <v>15</v>
      </c>
      <c r="J126" t="s">
        <v>47</v>
      </c>
      <c r="K126" t="s">
        <v>17</v>
      </c>
    </row>
    <row r="127" spans="1:11">
      <c r="A127" t="s">
        <v>177</v>
      </c>
      <c r="B127" s="2">
        <v>46156</v>
      </c>
      <c r="C127" t="s">
        <v>19</v>
      </c>
      <c r="D127" t="s">
        <v>20</v>
      </c>
      <c r="E127">
        <v>1</v>
      </c>
      <c r="F127">
        <v>17500</v>
      </c>
      <c r="G127">
        <v>17500</v>
      </c>
      <c r="H127" t="s">
        <v>14</v>
      </c>
      <c r="I127" t="s">
        <v>25</v>
      </c>
      <c r="J127" t="s">
        <v>47</v>
      </c>
      <c r="K127" t="s">
        <v>23</v>
      </c>
    </row>
    <row r="128" spans="1:11">
      <c r="A128" t="s">
        <v>178</v>
      </c>
      <c r="B128" s="2">
        <v>46060</v>
      </c>
      <c r="C128" t="s">
        <v>56</v>
      </c>
      <c r="D128" t="s">
        <v>33</v>
      </c>
      <c r="E128">
        <v>2</v>
      </c>
      <c r="F128">
        <v>14500</v>
      </c>
      <c r="G128">
        <v>29000</v>
      </c>
      <c r="H128" t="s">
        <v>34</v>
      </c>
      <c r="I128" t="s">
        <v>15</v>
      </c>
      <c r="J128" t="s">
        <v>16</v>
      </c>
      <c r="K128" t="s">
        <v>29</v>
      </c>
    </row>
    <row r="129" spans="1:11">
      <c r="A129" t="s">
        <v>179</v>
      </c>
      <c r="B129" s="2">
        <v>46064</v>
      </c>
      <c r="C129" t="s">
        <v>65</v>
      </c>
      <c r="D129" t="s">
        <v>33</v>
      </c>
      <c r="E129">
        <v>3</v>
      </c>
      <c r="F129">
        <v>4500</v>
      </c>
      <c r="G129">
        <v>13500</v>
      </c>
      <c r="H129" t="s">
        <v>34</v>
      </c>
      <c r="I129" t="s">
        <v>15</v>
      </c>
      <c r="J129" t="s">
        <v>22</v>
      </c>
      <c r="K129" t="s">
        <v>48</v>
      </c>
    </row>
    <row r="130" spans="1:11">
      <c r="A130" t="s">
        <v>180</v>
      </c>
      <c r="B130" s="2">
        <v>46169</v>
      </c>
      <c r="C130" t="s">
        <v>43</v>
      </c>
      <c r="D130" t="s">
        <v>20</v>
      </c>
      <c r="E130">
        <v>1</v>
      </c>
      <c r="F130">
        <v>9500</v>
      </c>
      <c r="G130">
        <v>9500</v>
      </c>
      <c r="H130" t="s">
        <v>21</v>
      </c>
      <c r="I130" t="s">
        <v>15</v>
      </c>
      <c r="J130" t="s">
        <v>28</v>
      </c>
      <c r="K130" t="s">
        <v>17</v>
      </c>
    </row>
    <row r="131" spans="1:11">
      <c r="A131" t="s">
        <v>181</v>
      </c>
      <c r="B131" s="2">
        <v>46173</v>
      </c>
      <c r="C131" t="s">
        <v>54</v>
      </c>
      <c r="D131" t="s">
        <v>20</v>
      </c>
      <c r="E131">
        <v>1</v>
      </c>
      <c r="F131">
        <v>8000</v>
      </c>
      <c r="G131">
        <v>8000</v>
      </c>
      <c r="H131" t="s">
        <v>41</v>
      </c>
      <c r="I131" t="s">
        <v>25</v>
      </c>
      <c r="J131" t="s">
        <v>22</v>
      </c>
      <c r="K131" t="s">
        <v>29</v>
      </c>
    </row>
    <row r="132" spans="1:11">
      <c r="A132" t="s">
        <v>182</v>
      </c>
      <c r="B132" s="2">
        <v>46137</v>
      </c>
      <c r="C132" t="s">
        <v>12</v>
      </c>
      <c r="D132" t="s">
        <v>13</v>
      </c>
      <c r="E132">
        <v>2</v>
      </c>
      <c r="F132">
        <v>7500</v>
      </c>
      <c r="G132">
        <v>15000</v>
      </c>
      <c r="H132" t="s">
        <v>14</v>
      </c>
      <c r="I132" t="s">
        <v>25</v>
      </c>
      <c r="J132" t="s">
        <v>44</v>
      </c>
      <c r="K132" t="s">
        <v>23</v>
      </c>
    </row>
    <row r="133" spans="1:11">
      <c r="A133" t="s">
        <v>183</v>
      </c>
      <c r="B133" s="2">
        <v>46114</v>
      </c>
      <c r="C133" t="s">
        <v>32</v>
      </c>
      <c r="D133" t="s">
        <v>33</v>
      </c>
      <c r="E133">
        <v>1</v>
      </c>
      <c r="F133">
        <v>18000</v>
      </c>
      <c r="G133">
        <v>18000</v>
      </c>
      <c r="H133" t="s">
        <v>34</v>
      </c>
      <c r="I133" t="s">
        <v>15</v>
      </c>
      <c r="J133" t="s">
        <v>16</v>
      </c>
      <c r="K133" t="s">
        <v>48</v>
      </c>
    </row>
    <row r="134" spans="1:11">
      <c r="A134" t="s">
        <v>184</v>
      </c>
      <c r="B134" s="2">
        <v>46117</v>
      </c>
      <c r="C134" t="s">
        <v>39</v>
      </c>
      <c r="D134" t="s">
        <v>37</v>
      </c>
      <c r="E134">
        <v>2</v>
      </c>
      <c r="F134">
        <v>1800</v>
      </c>
      <c r="G134">
        <v>3600</v>
      </c>
      <c r="H134" t="s">
        <v>14</v>
      </c>
      <c r="I134" t="s">
        <v>25</v>
      </c>
      <c r="J134" t="s">
        <v>44</v>
      </c>
      <c r="K134" t="s">
        <v>17</v>
      </c>
    </row>
    <row r="135" spans="1:11">
      <c r="A135" t="s">
        <v>185</v>
      </c>
      <c r="B135" s="2">
        <v>46085</v>
      </c>
      <c r="C135" t="s">
        <v>36</v>
      </c>
      <c r="D135" t="s">
        <v>37</v>
      </c>
      <c r="E135">
        <v>1</v>
      </c>
      <c r="F135">
        <v>2500</v>
      </c>
      <c r="G135">
        <v>2500</v>
      </c>
      <c r="H135" t="s">
        <v>14</v>
      </c>
      <c r="I135" t="s">
        <v>15</v>
      </c>
      <c r="J135" t="s">
        <v>47</v>
      </c>
      <c r="K135" t="s">
        <v>17</v>
      </c>
    </row>
    <row r="136" spans="1:11">
      <c r="A136" t="s">
        <v>186</v>
      </c>
      <c r="B136" s="2">
        <v>46110</v>
      </c>
      <c r="C136" t="s">
        <v>39</v>
      </c>
      <c r="D136" t="s">
        <v>37</v>
      </c>
      <c r="E136">
        <v>1</v>
      </c>
      <c r="F136">
        <v>1800</v>
      </c>
      <c r="G136">
        <v>1800</v>
      </c>
      <c r="H136" t="s">
        <v>41</v>
      </c>
      <c r="I136" t="s">
        <v>15</v>
      </c>
      <c r="J136" t="s">
        <v>44</v>
      </c>
      <c r="K136" t="s">
        <v>48</v>
      </c>
    </row>
    <row r="137" spans="1:11">
      <c r="A137" t="s">
        <v>187</v>
      </c>
      <c r="B137" s="2">
        <v>46118</v>
      </c>
      <c r="C137" t="s">
        <v>39</v>
      </c>
      <c r="D137" t="s">
        <v>37</v>
      </c>
      <c r="E137">
        <v>2</v>
      </c>
      <c r="F137">
        <v>1800</v>
      </c>
      <c r="G137">
        <v>3600</v>
      </c>
      <c r="H137" t="s">
        <v>34</v>
      </c>
      <c r="I137" t="s">
        <v>25</v>
      </c>
      <c r="J137" t="s">
        <v>28</v>
      </c>
      <c r="K137" t="s">
        <v>48</v>
      </c>
    </row>
    <row r="138" spans="1:11">
      <c r="A138" t="s">
        <v>188</v>
      </c>
      <c r="B138" s="2">
        <v>46056</v>
      </c>
      <c r="C138" t="s">
        <v>36</v>
      </c>
      <c r="D138" t="s">
        <v>37</v>
      </c>
      <c r="E138">
        <v>1</v>
      </c>
      <c r="F138">
        <v>2500</v>
      </c>
      <c r="G138">
        <v>2500</v>
      </c>
      <c r="H138" t="s">
        <v>34</v>
      </c>
      <c r="I138" t="s">
        <v>15</v>
      </c>
      <c r="J138" t="s">
        <v>44</v>
      </c>
      <c r="K138" t="s">
        <v>48</v>
      </c>
    </row>
    <row r="139" spans="1:11">
      <c r="A139" t="s">
        <v>189</v>
      </c>
      <c r="B139" s="2">
        <v>46165</v>
      </c>
      <c r="C139" t="s">
        <v>54</v>
      </c>
      <c r="D139" t="s">
        <v>20</v>
      </c>
      <c r="E139">
        <v>4</v>
      </c>
      <c r="F139">
        <v>8000</v>
      </c>
      <c r="G139">
        <v>32000</v>
      </c>
      <c r="H139" t="s">
        <v>41</v>
      </c>
      <c r="I139" t="s">
        <v>25</v>
      </c>
      <c r="J139" t="s">
        <v>44</v>
      </c>
      <c r="K139" t="s">
        <v>17</v>
      </c>
    </row>
    <row r="140" spans="1:11">
      <c r="A140" t="s">
        <v>190</v>
      </c>
      <c r="B140" s="2">
        <v>46071</v>
      </c>
      <c r="C140" t="s">
        <v>39</v>
      </c>
      <c r="D140" t="s">
        <v>37</v>
      </c>
      <c r="E140">
        <v>1</v>
      </c>
      <c r="F140">
        <v>1800</v>
      </c>
      <c r="G140">
        <v>1800</v>
      </c>
      <c r="H140" t="s">
        <v>14</v>
      </c>
      <c r="I140" t="s">
        <v>25</v>
      </c>
      <c r="J140" t="s">
        <v>22</v>
      </c>
      <c r="K140" t="s">
        <v>17</v>
      </c>
    </row>
    <row r="141" spans="1:11">
      <c r="A141" t="s">
        <v>191</v>
      </c>
      <c r="B141" s="2">
        <v>46139</v>
      </c>
      <c r="C141" t="s">
        <v>27</v>
      </c>
      <c r="D141" t="s">
        <v>20</v>
      </c>
      <c r="E141">
        <v>4</v>
      </c>
      <c r="F141">
        <v>28000</v>
      </c>
      <c r="G141">
        <v>112000</v>
      </c>
      <c r="H141" t="s">
        <v>34</v>
      </c>
      <c r="I141" t="s">
        <v>25</v>
      </c>
      <c r="J141" t="s">
        <v>22</v>
      </c>
      <c r="K141" t="s">
        <v>23</v>
      </c>
    </row>
    <row r="142" spans="1:11">
      <c r="A142" t="s">
        <v>192</v>
      </c>
      <c r="B142" s="2">
        <v>46084</v>
      </c>
      <c r="C142" t="s">
        <v>27</v>
      </c>
      <c r="D142" t="s">
        <v>20</v>
      </c>
      <c r="E142">
        <v>3</v>
      </c>
      <c r="F142">
        <v>28000</v>
      </c>
      <c r="G142">
        <v>84000</v>
      </c>
      <c r="H142" t="s">
        <v>14</v>
      </c>
      <c r="I142" t="s">
        <v>25</v>
      </c>
      <c r="J142" t="s">
        <v>44</v>
      </c>
      <c r="K142" t="s">
        <v>29</v>
      </c>
    </row>
    <row r="143" spans="1:11">
      <c r="A143" t="s">
        <v>193</v>
      </c>
      <c r="B143" s="2">
        <v>46093</v>
      </c>
      <c r="C143" t="s">
        <v>61</v>
      </c>
      <c r="D143" t="s">
        <v>37</v>
      </c>
      <c r="E143">
        <v>2</v>
      </c>
      <c r="F143">
        <v>5500</v>
      </c>
      <c r="G143">
        <v>11000</v>
      </c>
      <c r="H143" t="s">
        <v>14</v>
      </c>
      <c r="I143" t="s">
        <v>15</v>
      </c>
      <c r="J143" t="s">
        <v>28</v>
      </c>
      <c r="K143" t="s">
        <v>48</v>
      </c>
    </row>
    <row r="144" spans="1:11">
      <c r="A144" t="s">
        <v>194</v>
      </c>
      <c r="B144" s="2">
        <v>46129</v>
      </c>
      <c r="C144" t="s">
        <v>43</v>
      </c>
      <c r="D144" t="s">
        <v>20</v>
      </c>
      <c r="E144">
        <v>4</v>
      </c>
      <c r="F144">
        <v>9500</v>
      </c>
      <c r="G144">
        <v>38000</v>
      </c>
      <c r="H144" t="s">
        <v>14</v>
      </c>
      <c r="I144" t="s">
        <v>15</v>
      </c>
      <c r="J144" t="s">
        <v>47</v>
      </c>
      <c r="K144" t="s">
        <v>48</v>
      </c>
    </row>
    <row r="145" spans="1:11">
      <c r="A145" t="s">
        <v>195</v>
      </c>
      <c r="B145" s="2">
        <v>46068</v>
      </c>
      <c r="C145" t="s">
        <v>61</v>
      </c>
      <c r="D145" t="s">
        <v>37</v>
      </c>
      <c r="E145">
        <v>4</v>
      </c>
      <c r="F145">
        <v>5500</v>
      </c>
      <c r="G145">
        <v>22000</v>
      </c>
      <c r="H145" t="s">
        <v>14</v>
      </c>
      <c r="I145" t="s">
        <v>15</v>
      </c>
      <c r="J145" t="s">
        <v>22</v>
      </c>
      <c r="K145" t="s">
        <v>29</v>
      </c>
    </row>
    <row r="146" spans="1:11">
      <c r="A146" t="s">
        <v>196</v>
      </c>
      <c r="B146" s="2">
        <v>46086</v>
      </c>
      <c r="C146" t="s">
        <v>114</v>
      </c>
      <c r="D146" t="s">
        <v>13</v>
      </c>
      <c r="E146">
        <v>4</v>
      </c>
      <c r="F146">
        <v>22000</v>
      </c>
      <c r="G146">
        <v>88000</v>
      </c>
      <c r="H146" t="s">
        <v>14</v>
      </c>
      <c r="I146" t="s">
        <v>25</v>
      </c>
      <c r="J146" t="s">
        <v>16</v>
      </c>
      <c r="K146" t="s">
        <v>29</v>
      </c>
    </row>
    <row r="147" spans="1:11">
      <c r="A147" t="s">
        <v>197</v>
      </c>
      <c r="B147" s="2">
        <v>46135</v>
      </c>
      <c r="C147" t="s">
        <v>114</v>
      </c>
      <c r="D147" t="s">
        <v>13</v>
      </c>
      <c r="E147">
        <v>4</v>
      </c>
      <c r="F147">
        <v>22000</v>
      </c>
      <c r="G147">
        <v>88000</v>
      </c>
      <c r="H147" t="s">
        <v>14</v>
      </c>
      <c r="I147" t="s">
        <v>25</v>
      </c>
      <c r="J147" t="s">
        <v>16</v>
      </c>
      <c r="K147" t="s">
        <v>23</v>
      </c>
    </row>
    <row r="148" spans="1:11">
      <c r="A148" t="s">
        <v>198</v>
      </c>
      <c r="B148" s="2">
        <v>46160</v>
      </c>
      <c r="C148" t="s">
        <v>12</v>
      </c>
      <c r="D148" t="s">
        <v>13</v>
      </c>
      <c r="E148">
        <v>2</v>
      </c>
      <c r="F148">
        <v>7500</v>
      </c>
      <c r="G148">
        <v>15000</v>
      </c>
      <c r="H148" t="s">
        <v>34</v>
      </c>
      <c r="I148" t="s">
        <v>25</v>
      </c>
      <c r="J148" t="s">
        <v>22</v>
      </c>
      <c r="K148" t="s">
        <v>17</v>
      </c>
    </row>
    <row r="149" spans="1:11">
      <c r="A149" t="s">
        <v>199</v>
      </c>
      <c r="B149" s="2">
        <v>46152</v>
      </c>
      <c r="C149" t="s">
        <v>32</v>
      </c>
      <c r="D149" t="s">
        <v>33</v>
      </c>
      <c r="E149">
        <v>4</v>
      </c>
      <c r="F149">
        <v>18000</v>
      </c>
      <c r="G149">
        <v>72000</v>
      </c>
      <c r="H149" t="s">
        <v>21</v>
      </c>
      <c r="I149" t="s">
        <v>25</v>
      </c>
      <c r="J149" t="s">
        <v>28</v>
      </c>
      <c r="K149" t="s">
        <v>17</v>
      </c>
    </row>
    <row r="150" spans="1:11">
      <c r="A150" t="s">
        <v>200</v>
      </c>
      <c r="B150" s="2">
        <v>46114</v>
      </c>
      <c r="C150" t="s">
        <v>43</v>
      </c>
      <c r="D150" t="s">
        <v>20</v>
      </c>
      <c r="E150">
        <v>4</v>
      </c>
      <c r="F150">
        <v>9500</v>
      </c>
      <c r="G150">
        <v>38000</v>
      </c>
      <c r="H150" t="s">
        <v>34</v>
      </c>
      <c r="I150" t="s">
        <v>25</v>
      </c>
      <c r="J150" t="s">
        <v>44</v>
      </c>
      <c r="K150" t="s">
        <v>23</v>
      </c>
    </row>
    <row r="151" spans="1:11">
      <c r="A151" t="s">
        <v>201</v>
      </c>
      <c r="B151" s="2">
        <v>46080</v>
      </c>
      <c r="C151" t="s">
        <v>61</v>
      </c>
      <c r="D151" t="s">
        <v>37</v>
      </c>
      <c r="E151">
        <v>1</v>
      </c>
      <c r="F151">
        <v>5500</v>
      </c>
      <c r="G151">
        <v>5500</v>
      </c>
      <c r="H151" t="s">
        <v>41</v>
      </c>
      <c r="I151" t="s">
        <v>25</v>
      </c>
      <c r="J151" t="s">
        <v>47</v>
      </c>
      <c r="K151" t="s">
        <v>48</v>
      </c>
    </row>
    <row r="152" spans="1:11">
      <c r="A152" t="s">
        <v>101</v>
      </c>
      <c r="B152" s="2">
        <v>46082</v>
      </c>
      <c r="C152" t="s">
        <v>36</v>
      </c>
      <c r="D152" t="s">
        <v>37</v>
      </c>
      <c r="E152">
        <v>1</v>
      </c>
      <c r="F152">
        <v>2500</v>
      </c>
      <c r="G152">
        <v>2500</v>
      </c>
      <c r="H152" t="s">
        <v>41</v>
      </c>
      <c r="I152" t="s">
        <v>25</v>
      </c>
      <c r="J152" t="s">
        <v>28</v>
      </c>
      <c r="K152" t="s">
        <v>48</v>
      </c>
    </row>
  </sheetData>
  <pageMargins left="0.75" right="0.75" top="1" bottom="1" header="0.5" footer="0.5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1"/>
  <sheetViews>
    <sheetView tabSelected="1" topLeftCell="A82" workbookViewId="0">
      <selection activeCell="C84" sqref="C84"/>
    </sheetView>
  </sheetViews>
  <sheetFormatPr defaultRowHeight="15"/>
  <cols>
    <col min="1" max="1" width="11" customWidth="1"/>
    <col min="2" max="2" width="12.85546875" style="6" customWidth="1"/>
    <col min="3" max="4" width="16.28515625" bestFit="1" customWidth="1"/>
    <col min="5" max="5" width="10.85546875" customWidth="1"/>
    <col min="6" max="6" width="11.85546875" customWidth="1"/>
    <col min="7" max="7" width="15.28515625" customWidth="1"/>
    <col min="8" max="8" width="18.5703125" customWidth="1"/>
    <col min="9" max="9" width="16.42578125" style="3" customWidth="1"/>
    <col min="10" max="10" width="12.7109375" bestFit="1" customWidth="1"/>
    <col min="11" max="11" width="15.42578125" customWidth="1"/>
  </cols>
  <sheetData>
    <row r="1" spans="1:12" ht="15.75" thickBot="1">
      <c r="A1" s="15" t="s">
        <v>0</v>
      </c>
      <c r="B1" s="64" t="s">
        <v>1</v>
      </c>
      <c r="C1" s="15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61" t="s">
        <v>202</v>
      </c>
    </row>
    <row r="2" spans="1:12">
      <c r="A2" s="50" t="s">
        <v>11</v>
      </c>
      <c r="B2" s="62">
        <v>46118</v>
      </c>
      <c r="C2" s="43" t="s">
        <v>12</v>
      </c>
      <c r="D2" s="43" t="s">
        <v>13</v>
      </c>
      <c r="E2" s="43">
        <v>3</v>
      </c>
      <c r="F2" s="43">
        <v>7500</v>
      </c>
      <c r="G2" s="43">
        <v>22500</v>
      </c>
      <c r="H2" s="43" t="s">
        <v>14</v>
      </c>
      <c r="I2" s="43" t="s">
        <v>15</v>
      </c>
      <c r="J2" s="43" t="s">
        <v>16</v>
      </c>
      <c r="K2" s="43" t="s">
        <v>17</v>
      </c>
      <c r="L2" s="43" t="str">
        <f>TEXT($B2,"mmmm")</f>
        <v>April</v>
      </c>
    </row>
    <row r="3" spans="1:12">
      <c r="A3" s="39" t="s">
        <v>18</v>
      </c>
      <c r="B3" s="63">
        <v>46150</v>
      </c>
      <c r="C3" s="40" t="s">
        <v>19</v>
      </c>
      <c r="D3" s="40" t="s">
        <v>20</v>
      </c>
      <c r="E3" s="40">
        <v>4</v>
      </c>
      <c r="F3" s="40">
        <v>17500</v>
      </c>
      <c r="G3" s="40">
        <v>70000</v>
      </c>
      <c r="H3" s="40" t="s">
        <v>21</v>
      </c>
      <c r="I3" s="40" t="s">
        <v>15</v>
      </c>
      <c r="J3" s="40" t="s">
        <v>22</v>
      </c>
      <c r="K3" s="40" t="s">
        <v>23</v>
      </c>
      <c r="L3" s="40" t="str">
        <f t="shared" ref="L3:L66" si="0">TEXT($B3,"mmmm")</f>
        <v>May</v>
      </c>
    </row>
    <row r="4" spans="1:12">
      <c r="A4" s="50" t="s">
        <v>24</v>
      </c>
      <c r="B4" s="62">
        <v>46158</v>
      </c>
      <c r="C4" s="43" t="s">
        <v>12</v>
      </c>
      <c r="D4" s="43" t="s">
        <v>13</v>
      </c>
      <c r="E4" s="43">
        <v>3</v>
      </c>
      <c r="F4" s="43">
        <v>7500</v>
      </c>
      <c r="G4" s="43">
        <v>22500</v>
      </c>
      <c r="H4" s="43" t="s">
        <v>14</v>
      </c>
      <c r="I4" s="43" t="s">
        <v>25</v>
      </c>
      <c r="J4" s="43" t="s">
        <v>22</v>
      </c>
      <c r="K4" s="43" t="s">
        <v>17</v>
      </c>
      <c r="L4" s="43" t="str">
        <f t="shared" si="0"/>
        <v>May</v>
      </c>
    </row>
    <row r="5" spans="1:12">
      <c r="A5" s="39" t="s">
        <v>26</v>
      </c>
      <c r="B5" s="63">
        <v>46080</v>
      </c>
      <c r="C5" s="40" t="s">
        <v>27</v>
      </c>
      <c r="D5" s="40" t="s">
        <v>20</v>
      </c>
      <c r="E5" s="40">
        <v>3</v>
      </c>
      <c r="F5" s="40">
        <v>28000</v>
      </c>
      <c r="G5" s="40">
        <v>84000</v>
      </c>
      <c r="H5" s="40" t="s">
        <v>21</v>
      </c>
      <c r="I5" s="40" t="s">
        <v>25</v>
      </c>
      <c r="J5" s="40" t="s">
        <v>28</v>
      </c>
      <c r="K5" s="40" t="s">
        <v>29</v>
      </c>
      <c r="L5" s="40" t="str">
        <f t="shared" si="0"/>
        <v>February</v>
      </c>
    </row>
    <row r="6" spans="1:12">
      <c r="A6" s="50" t="s">
        <v>30</v>
      </c>
      <c r="B6" s="62">
        <v>46149</v>
      </c>
      <c r="C6" s="43" t="s">
        <v>19</v>
      </c>
      <c r="D6" s="43" t="s">
        <v>20</v>
      </c>
      <c r="E6" s="43">
        <v>4</v>
      </c>
      <c r="F6" s="43">
        <v>17500</v>
      </c>
      <c r="G6" s="43">
        <v>70000</v>
      </c>
      <c r="H6" s="43" t="s">
        <v>14</v>
      </c>
      <c r="I6" s="43" t="s">
        <v>25</v>
      </c>
      <c r="J6" s="43" t="s">
        <v>22</v>
      </c>
      <c r="K6" s="43" t="s">
        <v>29</v>
      </c>
      <c r="L6" s="43" t="str">
        <f t="shared" si="0"/>
        <v>May</v>
      </c>
    </row>
    <row r="7" spans="1:12">
      <c r="A7" s="39" t="s">
        <v>31</v>
      </c>
      <c r="B7" s="63">
        <v>46072</v>
      </c>
      <c r="C7" s="40" t="s">
        <v>32</v>
      </c>
      <c r="D7" s="40" t="s">
        <v>33</v>
      </c>
      <c r="E7" s="40">
        <v>4</v>
      </c>
      <c r="F7" s="40">
        <v>18000</v>
      </c>
      <c r="G7" s="40">
        <v>72000</v>
      </c>
      <c r="H7" s="40" t="s">
        <v>34</v>
      </c>
      <c r="I7" s="40" t="s">
        <v>15</v>
      </c>
      <c r="J7" s="40" t="s">
        <v>28</v>
      </c>
      <c r="K7" s="40" t="s">
        <v>29</v>
      </c>
      <c r="L7" s="40" t="str">
        <f t="shared" si="0"/>
        <v>February</v>
      </c>
    </row>
    <row r="8" spans="1:12">
      <c r="A8" s="50" t="s">
        <v>35</v>
      </c>
      <c r="B8" s="62">
        <v>46065</v>
      </c>
      <c r="C8" s="43" t="s">
        <v>36</v>
      </c>
      <c r="D8" s="43" t="s">
        <v>37</v>
      </c>
      <c r="E8" s="43">
        <v>4</v>
      </c>
      <c r="F8" s="43">
        <v>2500</v>
      </c>
      <c r="G8" s="43">
        <v>10000</v>
      </c>
      <c r="H8" s="43" t="s">
        <v>21</v>
      </c>
      <c r="I8" s="43" t="s">
        <v>25</v>
      </c>
      <c r="J8" s="43" t="s">
        <v>22</v>
      </c>
      <c r="K8" s="43" t="s">
        <v>17</v>
      </c>
      <c r="L8" s="43" t="str">
        <f t="shared" si="0"/>
        <v>February</v>
      </c>
    </row>
    <row r="9" spans="1:12">
      <c r="A9" s="39" t="s">
        <v>38</v>
      </c>
      <c r="B9" s="63">
        <v>46104</v>
      </c>
      <c r="C9" s="40" t="s">
        <v>39</v>
      </c>
      <c r="D9" s="40" t="s">
        <v>37</v>
      </c>
      <c r="E9" s="40">
        <v>4</v>
      </c>
      <c r="F9" s="40">
        <v>1800</v>
      </c>
      <c r="G9" s="40">
        <v>7200</v>
      </c>
      <c r="H9" s="40" t="s">
        <v>34</v>
      </c>
      <c r="I9" s="40" t="s">
        <v>25</v>
      </c>
      <c r="J9" s="40" t="s">
        <v>16</v>
      </c>
      <c r="K9" s="40" t="s">
        <v>17</v>
      </c>
      <c r="L9" s="40" t="str">
        <f t="shared" si="0"/>
        <v>March</v>
      </c>
    </row>
    <row r="10" spans="1:12">
      <c r="A10" s="50" t="s">
        <v>40</v>
      </c>
      <c r="B10" s="62">
        <v>46127</v>
      </c>
      <c r="C10" s="43" t="s">
        <v>39</v>
      </c>
      <c r="D10" s="43" t="s">
        <v>37</v>
      </c>
      <c r="E10" s="43">
        <v>1</v>
      </c>
      <c r="F10" s="43">
        <v>1800</v>
      </c>
      <c r="G10" s="43">
        <v>1800</v>
      </c>
      <c r="H10" s="43" t="s">
        <v>41</v>
      </c>
      <c r="I10" s="43" t="s">
        <v>15</v>
      </c>
      <c r="J10" s="43" t="s">
        <v>22</v>
      </c>
      <c r="K10" s="43" t="s">
        <v>23</v>
      </c>
      <c r="L10" s="43" t="str">
        <f t="shared" si="0"/>
        <v>April</v>
      </c>
    </row>
    <row r="11" spans="1:12">
      <c r="A11" s="39" t="s">
        <v>42</v>
      </c>
      <c r="B11" s="63">
        <v>46114</v>
      </c>
      <c r="C11" s="40" t="s">
        <v>43</v>
      </c>
      <c r="D11" s="40" t="s">
        <v>20</v>
      </c>
      <c r="E11" s="40">
        <v>4</v>
      </c>
      <c r="F11" s="40">
        <v>9500</v>
      </c>
      <c r="G11" s="40">
        <v>38000</v>
      </c>
      <c r="H11" s="40" t="s">
        <v>41</v>
      </c>
      <c r="I11" s="40" t="s">
        <v>25</v>
      </c>
      <c r="J11" s="40" t="s">
        <v>44</v>
      </c>
      <c r="K11" s="40" t="s">
        <v>23</v>
      </c>
      <c r="L11" s="40" t="str">
        <f t="shared" si="0"/>
        <v>April</v>
      </c>
    </row>
    <row r="12" spans="1:12">
      <c r="A12" s="50" t="s">
        <v>45</v>
      </c>
      <c r="B12" s="62">
        <v>46140</v>
      </c>
      <c r="C12" s="43" t="s">
        <v>27</v>
      </c>
      <c r="D12" s="43" t="s">
        <v>20</v>
      </c>
      <c r="E12" s="43">
        <v>4</v>
      </c>
      <c r="F12" s="43">
        <v>28000</v>
      </c>
      <c r="G12" s="43">
        <v>112000</v>
      </c>
      <c r="H12" s="43" t="s">
        <v>21</v>
      </c>
      <c r="I12" s="43" t="s">
        <v>25</v>
      </c>
      <c r="J12" s="43" t="s">
        <v>16</v>
      </c>
      <c r="K12" s="43" t="s">
        <v>17</v>
      </c>
      <c r="L12" s="43" t="str">
        <f t="shared" si="0"/>
        <v>April</v>
      </c>
    </row>
    <row r="13" spans="1:12">
      <c r="A13" s="39" t="s">
        <v>46</v>
      </c>
      <c r="B13" s="63">
        <v>46124</v>
      </c>
      <c r="C13" s="40" t="s">
        <v>27</v>
      </c>
      <c r="D13" s="40" t="s">
        <v>20</v>
      </c>
      <c r="E13" s="40">
        <v>3</v>
      </c>
      <c r="F13" s="40">
        <v>28000</v>
      </c>
      <c r="G13" s="40">
        <v>84000</v>
      </c>
      <c r="H13" s="40" t="s">
        <v>21</v>
      </c>
      <c r="I13" s="40" t="s">
        <v>25</v>
      </c>
      <c r="J13" s="40" t="s">
        <v>47</v>
      </c>
      <c r="K13" s="40" t="s">
        <v>48</v>
      </c>
      <c r="L13" s="40" t="str">
        <f t="shared" si="0"/>
        <v>April</v>
      </c>
    </row>
    <row r="14" spans="1:12">
      <c r="A14" s="50" t="s">
        <v>49</v>
      </c>
      <c r="B14" s="62">
        <v>46055</v>
      </c>
      <c r="C14" s="43" t="s">
        <v>32</v>
      </c>
      <c r="D14" s="43" t="s">
        <v>33</v>
      </c>
      <c r="E14" s="43">
        <v>3</v>
      </c>
      <c r="F14" s="43">
        <v>18000</v>
      </c>
      <c r="G14" s="43">
        <v>54000</v>
      </c>
      <c r="H14" s="43" t="s">
        <v>14</v>
      </c>
      <c r="I14" s="43" t="s">
        <v>15</v>
      </c>
      <c r="J14" s="43" t="s">
        <v>16</v>
      </c>
      <c r="K14" s="43" t="s">
        <v>17</v>
      </c>
      <c r="L14" s="43" t="str">
        <f t="shared" si="0"/>
        <v>February</v>
      </c>
    </row>
    <row r="15" spans="1:12">
      <c r="A15" s="39" t="s">
        <v>50</v>
      </c>
      <c r="B15" s="63">
        <v>46100</v>
      </c>
      <c r="C15" s="40" t="s">
        <v>19</v>
      </c>
      <c r="D15" s="40" t="s">
        <v>20</v>
      </c>
      <c r="E15" s="40">
        <v>4</v>
      </c>
      <c r="F15" s="40">
        <v>17500</v>
      </c>
      <c r="G15" s="40">
        <v>70000</v>
      </c>
      <c r="H15" s="40" t="s">
        <v>41</v>
      </c>
      <c r="I15" s="40" t="s">
        <v>25</v>
      </c>
      <c r="J15" s="40" t="s">
        <v>47</v>
      </c>
      <c r="K15" s="40" t="s">
        <v>17</v>
      </c>
      <c r="L15" s="40" t="str">
        <f t="shared" si="0"/>
        <v>March</v>
      </c>
    </row>
    <row r="16" spans="1:12">
      <c r="A16" s="50" t="s">
        <v>51</v>
      </c>
      <c r="B16" s="62">
        <v>46157</v>
      </c>
      <c r="C16" s="43" t="s">
        <v>39</v>
      </c>
      <c r="D16" s="43" t="s">
        <v>37</v>
      </c>
      <c r="E16" s="43">
        <v>4</v>
      </c>
      <c r="F16" s="43">
        <v>1800</v>
      </c>
      <c r="G16" s="43">
        <v>7200</v>
      </c>
      <c r="H16" s="43" t="s">
        <v>14</v>
      </c>
      <c r="I16" s="43" t="s">
        <v>15</v>
      </c>
      <c r="J16" s="43" t="s">
        <v>28</v>
      </c>
      <c r="K16" s="43" t="s">
        <v>29</v>
      </c>
      <c r="L16" s="43" t="str">
        <f t="shared" si="0"/>
        <v>May</v>
      </c>
    </row>
    <row r="17" spans="1:12">
      <c r="A17" s="39" t="s">
        <v>52</v>
      </c>
      <c r="B17" s="63">
        <v>46110</v>
      </c>
      <c r="C17" s="40" t="s">
        <v>36</v>
      </c>
      <c r="D17" s="40" t="s">
        <v>37</v>
      </c>
      <c r="E17" s="40">
        <v>1</v>
      </c>
      <c r="F17" s="40">
        <v>2500</v>
      </c>
      <c r="G17" s="40">
        <v>2500</v>
      </c>
      <c r="H17" s="40" t="s">
        <v>34</v>
      </c>
      <c r="I17" s="40" t="s">
        <v>25</v>
      </c>
      <c r="J17" s="40" t="s">
        <v>44</v>
      </c>
      <c r="K17" s="40" t="s">
        <v>17</v>
      </c>
      <c r="L17" s="40" t="str">
        <f t="shared" si="0"/>
        <v>March</v>
      </c>
    </row>
    <row r="18" spans="1:12">
      <c r="A18" s="50" t="s">
        <v>53</v>
      </c>
      <c r="B18" s="62">
        <v>46062</v>
      </c>
      <c r="C18" s="43" t="s">
        <v>54</v>
      </c>
      <c r="D18" s="43" t="s">
        <v>20</v>
      </c>
      <c r="E18" s="43">
        <v>4</v>
      </c>
      <c r="F18" s="43">
        <v>8000</v>
      </c>
      <c r="G18" s="43">
        <v>32000</v>
      </c>
      <c r="H18" s="43" t="s">
        <v>34</v>
      </c>
      <c r="I18" s="43" t="s">
        <v>25</v>
      </c>
      <c r="J18" s="43" t="s">
        <v>28</v>
      </c>
      <c r="K18" s="43" t="s">
        <v>23</v>
      </c>
      <c r="L18" s="43" t="str">
        <f t="shared" si="0"/>
        <v>February</v>
      </c>
    </row>
    <row r="19" spans="1:12">
      <c r="A19" s="39" t="s">
        <v>55</v>
      </c>
      <c r="B19" s="63">
        <v>46072</v>
      </c>
      <c r="C19" s="40" t="s">
        <v>56</v>
      </c>
      <c r="D19" s="40" t="s">
        <v>33</v>
      </c>
      <c r="E19" s="40">
        <v>4</v>
      </c>
      <c r="F19" s="40">
        <v>14500</v>
      </c>
      <c r="G19" s="40">
        <v>58000</v>
      </c>
      <c r="H19" s="40" t="s">
        <v>21</v>
      </c>
      <c r="I19" s="40" t="s">
        <v>15</v>
      </c>
      <c r="J19" s="40" t="s">
        <v>22</v>
      </c>
      <c r="K19" s="40" t="s">
        <v>23</v>
      </c>
      <c r="L19" s="40" t="str">
        <f t="shared" si="0"/>
        <v>February</v>
      </c>
    </row>
    <row r="20" spans="1:12">
      <c r="A20" s="50" t="s">
        <v>57</v>
      </c>
      <c r="B20" s="62">
        <v>46132</v>
      </c>
      <c r="C20" s="43" t="s">
        <v>36</v>
      </c>
      <c r="D20" s="43" t="s">
        <v>37</v>
      </c>
      <c r="E20" s="43">
        <v>1</v>
      </c>
      <c r="F20" s="43">
        <v>2500</v>
      </c>
      <c r="G20" s="43">
        <v>2500</v>
      </c>
      <c r="H20" s="43" t="s">
        <v>41</v>
      </c>
      <c r="I20" s="43" t="s">
        <v>15</v>
      </c>
      <c r="J20" s="43" t="s">
        <v>22</v>
      </c>
      <c r="K20" s="43" t="s">
        <v>23</v>
      </c>
      <c r="L20" s="43" t="str">
        <f t="shared" si="0"/>
        <v>April</v>
      </c>
    </row>
    <row r="21" spans="1:12">
      <c r="A21" s="39" t="s">
        <v>58</v>
      </c>
      <c r="B21" s="63">
        <v>46139</v>
      </c>
      <c r="C21" s="40" t="s">
        <v>19</v>
      </c>
      <c r="D21" s="40" t="s">
        <v>20</v>
      </c>
      <c r="E21" s="40">
        <v>3</v>
      </c>
      <c r="F21" s="40">
        <v>17500</v>
      </c>
      <c r="G21" s="40">
        <v>52500</v>
      </c>
      <c r="H21" s="40" t="s">
        <v>34</v>
      </c>
      <c r="I21" s="40" t="s">
        <v>15</v>
      </c>
      <c r="J21" s="40" t="s">
        <v>22</v>
      </c>
      <c r="K21" s="40" t="s">
        <v>29</v>
      </c>
      <c r="L21" s="40" t="str">
        <f t="shared" si="0"/>
        <v>April</v>
      </c>
    </row>
    <row r="22" spans="1:12">
      <c r="A22" s="50" t="s">
        <v>59</v>
      </c>
      <c r="B22" s="62">
        <v>46142</v>
      </c>
      <c r="C22" s="43" t="s">
        <v>27</v>
      </c>
      <c r="D22" s="43" t="s">
        <v>20</v>
      </c>
      <c r="E22" s="43">
        <v>4</v>
      </c>
      <c r="F22" s="43">
        <v>28000</v>
      </c>
      <c r="G22" s="43">
        <v>112000</v>
      </c>
      <c r="H22" s="43" t="s">
        <v>41</v>
      </c>
      <c r="I22" s="43" t="s">
        <v>15</v>
      </c>
      <c r="J22" s="43" t="s">
        <v>47</v>
      </c>
      <c r="K22" s="43" t="s">
        <v>48</v>
      </c>
      <c r="L22" s="43" t="str">
        <f t="shared" si="0"/>
        <v>April</v>
      </c>
    </row>
    <row r="23" spans="1:12">
      <c r="A23" s="39" t="s">
        <v>60</v>
      </c>
      <c r="B23" s="63">
        <v>46064</v>
      </c>
      <c r="C23" s="40" t="s">
        <v>61</v>
      </c>
      <c r="D23" s="40" t="s">
        <v>37</v>
      </c>
      <c r="E23" s="40">
        <v>3</v>
      </c>
      <c r="F23" s="40">
        <v>5500</v>
      </c>
      <c r="G23" s="40">
        <v>16500</v>
      </c>
      <c r="H23" s="40" t="s">
        <v>21</v>
      </c>
      <c r="I23" s="40" t="s">
        <v>15</v>
      </c>
      <c r="J23" s="40" t="s">
        <v>44</v>
      </c>
      <c r="K23" s="40" t="s">
        <v>29</v>
      </c>
      <c r="L23" s="40" t="str">
        <f t="shared" si="0"/>
        <v>February</v>
      </c>
    </row>
    <row r="24" spans="1:12">
      <c r="A24" s="50" t="s">
        <v>62</v>
      </c>
      <c r="B24" s="62">
        <v>46103</v>
      </c>
      <c r="C24" s="43" t="s">
        <v>39</v>
      </c>
      <c r="D24" s="43" t="s">
        <v>37</v>
      </c>
      <c r="E24" s="43">
        <v>4</v>
      </c>
      <c r="F24" s="43">
        <v>1800</v>
      </c>
      <c r="G24" s="43">
        <v>7200</v>
      </c>
      <c r="H24" s="43" t="s">
        <v>41</v>
      </c>
      <c r="I24" s="43" t="s">
        <v>15</v>
      </c>
      <c r="J24" s="43" t="s">
        <v>47</v>
      </c>
      <c r="K24" s="43" t="s">
        <v>23</v>
      </c>
      <c r="L24" s="43" t="str">
        <f t="shared" si="0"/>
        <v>March</v>
      </c>
    </row>
    <row r="25" spans="1:12">
      <c r="A25" s="39" t="s">
        <v>63</v>
      </c>
      <c r="B25" s="63">
        <v>46167</v>
      </c>
      <c r="C25" s="40" t="s">
        <v>12</v>
      </c>
      <c r="D25" s="40" t="s">
        <v>13</v>
      </c>
      <c r="E25" s="40">
        <v>4</v>
      </c>
      <c r="F25" s="40">
        <v>7500</v>
      </c>
      <c r="G25" s="40">
        <v>30000</v>
      </c>
      <c r="H25" s="40" t="s">
        <v>14</v>
      </c>
      <c r="I25" s="40" t="s">
        <v>15</v>
      </c>
      <c r="J25" s="40" t="s">
        <v>28</v>
      </c>
      <c r="K25" s="40" t="s">
        <v>29</v>
      </c>
      <c r="L25" s="40" t="str">
        <f t="shared" si="0"/>
        <v>May</v>
      </c>
    </row>
    <row r="26" spans="1:12">
      <c r="A26" s="50" t="s">
        <v>64</v>
      </c>
      <c r="B26" s="62">
        <v>46057</v>
      </c>
      <c r="C26" s="43" t="s">
        <v>65</v>
      </c>
      <c r="D26" s="43" t="s">
        <v>33</v>
      </c>
      <c r="E26" s="43">
        <v>1</v>
      </c>
      <c r="F26" s="43">
        <v>4500</v>
      </c>
      <c r="G26" s="43">
        <v>4500</v>
      </c>
      <c r="H26" s="43" t="s">
        <v>21</v>
      </c>
      <c r="I26" s="43" t="s">
        <v>25</v>
      </c>
      <c r="J26" s="43" t="s">
        <v>28</v>
      </c>
      <c r="K26" s="43" t="s">
        <v>17</v>
      </c>
      <c r="L26" s="43" t="str">
        <f t="shared" si="0"/>
        <v>February</v>
      </c>
    </row>
    <row r="27" spans="1:12">
      <c r="A27" s="39" t="s">
        <v>66</v>
      </c>
      <c r="B27" s="63">
        <v>46117</v>
      </c>
      <c r="C27" s="40" t="s">
        <v>67</v>
      </c>
      <c r="D27" s="40" t="s">
        <v>68</v>
      </c>
      <c r="E27" s="40">
        <v>1</v>
      </c>
      <c r="F27" s="40">
        <v>6500</v>
      </c>
      <c r="G27" s="40">
        <v>6500</v>
      </c>
      <c r="H27" s="40" t="s">
        <v>21</v>
      </c>
      <c r="I27" s="40" t="s">
        <v>15</v>
      </c>
      <c r="J27" s="40" t="s">
        <v>44</v>
      </c>
      <c r="K27" s="40" t="s">
        <v>48</v>
      </c>
      <c r="L27" s="40" t="str">
        <f t="shared" si="0"/>
        <v>April</v>
      </c>
    </row>
    <row r="28" spans="1:12">
      <c r="A28" s="50" t="s">
        <v>69</v>
      </c>
      <c r="B28" s="62">
        <v>46112</v>
      </c>
      <c r="C28" s="43" t="s">
        <v>70</v>
      </c>
      <c r="D28" s="43" t="s">
        <v>68</v>
      </c>
      <c r="E28" s="43">
        <v>3</v>
      </c>
      <c r="F28" s="43">
        <v>12000</v>
      </c>
      <c r="G28" s="43">
        <v>36000</v>
      </c>
      <c r="H28" s="43" t="s">
        <v>41</v>
      </c>
      <c r="I28" s="43" t="s">
        <v>15</v>
      </c>
      <c r="J28" s="43" t="s">
        <v>16</v>
      </c>
      <c r="K28" s="43" t="s">
        <v>17</v>
      </c>
      <c r="L28" s="43" t="str">
        <f t="shared" si="0"/>
        <v>March</v>
      </c>
    </row>
    <row r="29" spans="1:12">
      <c r="A29" s="39" t="s">
        <v>71</v>
      </c>
      <c r="B29" s="63">
        <v>46136</v>
      </c>
      <c r="C29" s="40" t="s">
        <v>72</v>
      </c>
      <c r="D29" s="40" t="s">
        <v>13</v>
      </c>
      <c r="E29" s="40">
        <v>2</v>
      </c>
      <c r="F29" s="40">
        <v>18500</v>
      </c>
      <c r="G29" s="40">
        <v>37000</v>
      </c>
      <c r="H29" s="40" t="s">
        <v>41</v>
      </c>
      <c r="I29" s="40" t="s">
        <v>15</v>
      </c>
      <c r="J29" s="40" t="s">
        <v>22</v>
      </c>
      <c r="K29" s="40" t="s">
        <v>23</v>
      </c>
      <c r="L29" s="40" t="str">
        <f t="shared" si="0"/>
        <v>April</v>
      </c>
    </row>
    <row r="30" spans="1:12">
      <c r="A30" s="50" t="s">
        <v>74</v>
      </c>
      <c r="B30" s="62">
        <v>46115</v>
      </c>
      <c r="C30" s="43" t="s">
        <v>36</v>
      </c>
      <c r="D30" s="43" t="s">
        <v>37</v>
      </c>
      <c r="E30" s="43">
        <v>2</v>
      </c>
      <c r="F30" s="43">
        <v>2500</v>
      </c>
      <c r="G30" s="43">
        <v>5000</v>
      </c>
      <c r="H30" s="43" t="s">
        <v>14</v>
      </c>
      <c r="I30" s="43" t="s">
        <v>15</v>
      </c>
      <c r="J30" s="43" t="s">
        <v>16</v>
      </c>
      <c r="K30" s="43" t="s">
        <v>48</v>
      </c>
      <c r="L30" s="43" t="str">
        <f t="shared" si="0"/>
        <v>April</v>
      </c>
    </row>
    <row r="31" spans="1:12">
      <c r="A31" s="39" t="s">
        <v>75</v>
      </c>
      <c r="B31" s="63">
        <v>46074</v>
      </c>
      <c r="C31" s="40" t="s">
        <v>19</v>
      </c>
      <c r="D31" s="40" t="s">
        <v>20</v>
      </c>
      <c r="E31" s="40">
        <v>2</v>
      </c>
      <c r="F31" s="40">
        <v>17500</v>
      </c>
      <c r="G31" s="40">
        <v>35000</v>
      </c>
      <c r="H31" s="40" t="s">
        <v>41</v>
      </c>
      <c r="I31" s="40" t="s">
        <v>25</v>
      </c>
      <c r="J31" s="40" t="s">
        <v>28</v>
      </c>
      <c r="K31" s="40" t="s">
        <v>17</v>
      </c>
      <c r="L31" s="40" t="str">
        <f t="shared" si="0"/>
        <v>February</v>
      </c>
    </row>
    <row r="32" spans="1:12">
      <c r="A32" s="50" t="s">
        <v>76</v>
      </c>
      <c r="B32" s="62">
        <v>46165</v>
      </c>
      <c r="C32" s="43" t="s">
        <v>39</v>
      </c>
      <c r="D32" s="43" t="s">
        <v>37</v>
      </c>
      <c r="E32" s="43">
        <v>4</v>
      </c>
      <c r="F32" s="43">
        <v>1800</v>
      </c>
      <c r="G32" s="43">
        <v>7200</v>
      </c>
      <c r="H32" s="43" t="s">
        <v>14</v>
      </c>
      <c r="I32" s="43" t="s">
        <v>25</v>
      </c>
      <c r="J32" s="43" t="s">
        <v>28</v>
      </c>
      <c r="K32" s="43" t="s">
        <v>48</v>
      </c>
      <c r="L32" s="43" t="str">
        <f t="shared" si="0"/>
        <v>May</v>
      </c>
    </row>
    <row r="33" spans="1:12">
      <c r="A33" s="39" t="s">
        <v>77</v>
      </c>
      <c r="B33" s="63">
        <v>46087</v>
      </c>
      <c r="C33" s="40" t="s">
        <v>67</v>
      </c>
      <c r="D33" s="40" t="s">
        <v>68</v>
      </c>
      <c r="E33" s="40">
        <v>2</v>
      </c>
      <c r="F33" s="40">
        <v>6500</v>
      </c>
      <c r="G33" s="40">
        <v>13000</v>
      </c>
      <c r="H33" s="40" t="s">
        <v>21</v>
      </c>
      <c r="I33" s="40" t="s">
        <v>25</v>
      </c>
      <c r="J33" s="40" t="s">
        <v>47</v>
      </c>
      <c r="K33" s="40" t="s">
        <v>29</v>
      </c>
      <c r="L33" s="40" t="str">
        <f t="shared" si="0"/>
        <v>March</v>
      </c>
    </row>
    <row r="34" spans="1:12">
      <c r="A34" s="50" t="s">
        <v>78</v>
      </c>
      <c r="B34" s="62">
        <v>46095</v>
      </c>
      <c r="C34" s="43" t="s">
        <v>36</v>
      </c>
      <c r="D34" s="43" t="s">
        <v>37</v>
      </c>
      <c r="E34" s="43">
        <v>2</v>
      </c>
      <c r="F34" s="43">
        <v>2500</v>
      </c>
      <c r="G34" s="43">
        <v>5000</v>
      </c>
      <c r="H34" s="43" t="s">
        <v>21</v>
      </c>
      <c r="I34" s="43" t="s">
        <v>25</v>
      </c>
      <c r="J34" s="43" t="s">
        <v>22</v>
      </c>
      <c r="K34" s="43" t="s">
        <v>29</v>
      </c>
      <c r="L34" s="43" t="str">
        <f t="shared" si="0"/>
        <v>March</v>
      </c>
    </row>
    <row r="35" spans="1:12">
      <c r="A35" s="39" t="s">
        <v>79</v>
      </c>
      <c r="B35" s="63">
        <v>46162</v>
      </c>
      <c r="C35" s="40" t="s">
        <v>54</v>
      </c>
      <c r="D35" s="40" t="s">
        <v>20</v>
      </c>
      <c r="E35" s="40">
        <v>1</v>
      </c>
      <c r="F35" s="40">
        <v>8000</v>
      </c>
      <c r="G35" s="40">
        <v>8000</v>
      </c>
      <c r="H35" s="40" t="s">
        <v>41</v>
      </c>
      <c r="I35" s="40" t="s">
        <v>15</v>
      </c>
      <c r="J35" s="40" t="s">
        <v>22</v>
      </c>
      <c r="K35" s="40" t="s">
        <v>23</v>
      </c>
      <c r="L35" s="40" t="str">
        <f t="shared" si="0"/>
        <v>May</v>
      </c>
    </row>
    <row r="36" spans="1:12">
      <c r="A36" s="50" t="s">
        <v>80</v>
      </c>
      <c r="B36" s="62">
        <v>46136</v>
      </c>
      <c r="C36" s="43" t="s">
        <v>65</v>
      </c>
      <c r="D36" s="43" t="s">
        <v>33</v>
      </c>
      <c r="E36" s="43">
        <v>4</v>
      </c>
      <c r="F36" s="43">
        <v>4500</v>
      </c>
      <c r="G36" s="43">
        <v>18000</v>
      </c>
      <c r="H36" s="43" t="s">
        <v>34</v>
      </c>
      <c r="I36" s="43" t="s">
        <v>25</v>
      </c>
      <c r="J36" s="43" t="s">
        <v>16</v>
      </c>
      <c r="K36" s="43" t="s">
        <v>48</v>
      </c>
      <c r="L36" s="43" t="str">
        <f t="shared" si="0"/>
        <v>April</v>
      </c>
    </row>
    <row r="37" spans="1:12">
      <c r="A37" s="39" t="s">
        <v>81</v>
      </c>
      <c r="B37" s="63">
        <v>46162</v>
      </c>
      <c r="C37" s="40" t="s">
        <v>72</v>
      </c>
      <c r="D37" s="40" t="s">
        <v>13</v>
      </c>
      <c r="E37" s="40">
        <v>3</v>
      </c>
      <c r="F37" s="40">
        <v>18500</v>
      </c>
      <c r="G37" s="40">
        <v>55500</v>
      </c>
      <c r="H37" s="40" t="s">
        <v>41</v>
      </c>
      <c r="I37" s="40" t="s">
        <v>25</v>
      </c>
      <c r="J37" s="40" t="s">
        <v>16</v>
      </c>
      <c r="K37" s="40" t="s">
        <v>48</v>
      </c>
      <c r="L37" s="40" t="str">
        <f t="shared" si="0"/>
        <v>May</v>
      </c>
    </row>
    <row r="38" spans="1:12">
      <c r="A38" s="50" t="s">
        <v>82</v>
      </c>
      <c r="B38" s="62">
        <v>46125</v>
      </c>
      <c r="C38" s="43" t="s">
        <v>12</v>
      </c>
      <c r="D38" s="43" t="s">
        <v>13</v>
      </c>
      <c r="E38" s="43">
        <v>3</v>
      </c>
      <c r="F38" s="43">
        <v>7500</v>
      </c>
      <c r="G38" s="43">
        <v>22500</v>
      </c>
      <c r="H38" s="43" t="s">
        <v>41</v>
      </c>
      <c r="I38" s="43" t="s">
        <v>25</v>
      </c>
      <c r="J38" s="43" t="s">
        <v>16</v>
      </c>
      <c r="K38" s="43" t="s">
        <v>29</v>
      </c>
      <c r="L38" s="43" t="str">
        <f t="shared" si="0"/>
        <v>April</v>
      </c>
    </row>
    <row r="39" spans="1:12">
      <c r="A39" s="39" t="s">
        <v>83</v>
      </c>
      <c r="B39" s="63">
        <v>46066</v>
      </c>
      <c r="C39" s="40" t="s">
        <v>27</v>
      </c>
      <c r="D39" s="40" t="s">
        <v>20</v>
      </c>
      <c r="E39" s="40">
        <v>2</v>
      </c>
      <c r="F39" s="40">
        <v>28000</v>
      </c>
      <c r="G39" s="40">
        <v>56000</v>
      </c>
      <c r="H39" s="40" t="s">
        <v>34</v>
      </c>
      <c r="I39" s="40" t="s">
        <v>15</v>
      </c>
      <c r="J39" s="40" t="s">
        <v>47</v>
      </c>
      <c r="K39" s="40" t="s">
        <v>48</v>
      </c>
      <c r="L39" s="40" t="str">
        <f t="shared" si="0"/>
        <v>February</v>
      </c>
    </row>
    <row r="40" spans="1:12">
      <c r="A40" s="50" t="s">
        <v>84</v>
      </c>
      <c r="B40" s="62">
        <v>46151</v>
      </c>
      <c r="C40" s="43" t="s">
        <v>12</v>
      </c>
      <c r="D40" s="43" t="s">
        <v>13</v>
      </c>
      <c r="E40" s="43">
        <v>1</v>
      </c>
      <c r="F40" s="43">
        <v>7500</v>
      </c>
      <c r="G40" s="43">
        <v>7500</v>
      </c>
      <c r="H40" s="43" t="s">
        <v>34</v>
      </c>
      <c r="I40" s="43" t="s">
        <v>15</v>
      </c>
      <c r="J40" s="43" t="s">
        <v>22</v>
      </c>
      <c r="K40" s="43" t="s">
        <v>29</v>
      </c>
      <c r="L40" s="43" t="str">
        <f t="shared" si="0"/>
        <v>May</v>
      </c>
    </row>
    <row r="41" spans="1:12">
      <c r="A41" s="39" t="s">
        <v>85</v>
      </c>
      <c r="B41" s="63">
        <v>46091</v>
      </c>
      <c r="C41" s="40" t="s">
        <v>32</v>
      </c>
      <c r="D41" s="40" t="s">
        <v>33</v>
      </c>
      <c r="E41" s="40">
        <v>1</v>
      </c>
      <c r="F41" s="40">
        <v>18000</v>
      </c>
      <c r="G41" s="40">
        <v>18000</v>
      </c>
      <c r="H41" s="40" t="s">
        <v>34</v>
      </c>
      <c r="I41" s="40" t="s">
        <v>15</v>
      </c>
      <c r="J41" s="40" t="s">
        <v>28</v>
      </c>
      <c r="K41" s="40" t="s">
        <v>29</v>
      </c>
      <c r="L41" s="40" t="str">
        <f t="shared" si="0"/>
        <v>March</v>
      </c>
    </row>
    <row r="42" spans="1:12">
      <c r="A42" s="50" t="s">
        <v>86</v>
      </c>
      <c r="B42" s="62">
        <v>46106</v>
      </c>
      <c r="C42" s="43" t="s">
        <v>12</v>
      </c>
      <c r="D42" s="43" t="s">
        <v>13</v>
      </c>
      <c r="E42" s="43">
        <v>1</v>
      </c>
      <c r="F42" s="43">
        <v>7500</v>
      </c>
      <c r="G42" s="43">
        <v>7500</v>
      </c>
      <c r="H42" s="43" t="s">
        <v>34</v>
      </c>
      <c r="I42" s="43" t="s">
        <v>25</v>
      </c>
      <c r="J42" s="43" t="s">
        <v>22</v>
      </c>
      <c r="K42" s="43" t="s">
        <v>23</v>
      </c>
      <c r="L42" s="43" t="str">
        <f t="shared" si="0"/>
        <v>March</v>
      </c>
    </row>
    <row r="43" spans="1:12">
      <c r="A43" s="39" t="s">
        <v>87</v>
      </c>
      <c r="B43" s="63">
        <v>46056</v>
      </c>
      <c r="C43" s="40" t="s">
        <v>12</v>
      </c>
      <c r="D43" s="40" t="s">
        <v>13</v>
      </c>
      <c r="E43" s="40">
        <v>2</v>
      </c>
      <c r="F43" s="40">
        <v>7500</v>
      </c>
      <c r="G43" s="40">
        <v>15000</v>
      </c>
      <c r="H43" s="40" t="s">
        <v>34</v>
      </c>
      <c r="I43" s="40" t="s">
        <v>25</v>
      </c>
      <c r="J43" s="40" t="s">
        <v>22</v>
      </c>
      <c r="K43" s="40" t="s">
        <v>29</v>
      </c>
      <c r="L43" s="40" t="str">
        <f t="shared" si="0"/>
        <v>February</v>
      </c>
    </row>
    <row r="44" spans="1:12">
      <c r="A44" s="50" t="s">
        <v>89</v>
      </c>
      <c r="B44" s="62">
        <v>46131</v>
      </c>
      <c r="C44" s="43" t="s">
        <v>67</v>
      </c>
      <c r="D44" s="43" t="s">
        <v>68</v>
      </c>
      <c r="E44" s="43">
        <v>4</v>
      </c>
      <c r="F44" s="43">
        <v>6500</v>
      </c>
      <c r="G44" s="43">
        <v>26000</v>
      </c>
      <c r="H44" s="43" t="s">
        <v>14</v>
      </c>
      <c r="I44" s="43" t="s">
        <v>25</v>
      </c>
      <c r="J44" s="43" t="s">
        <v>28</v>
      </c>
      <c r="K44" s="43" t="s">
        <v>48</v>
      </c>
      <c r="L44" s="43" t="str">
        <f t="shared" si="0"/>
        <v>April</v>
      </c>
    </row>
    <row r="45" spans="1:12">
      <c r="A45" s="39" t="s">
        <v>90</v>
      </c>
      <c r="B45" s="63">
        <v>46108</v>
      </c>
      <c r="C45" s="40" t="s">
        <v>61</v>
      </c>
      <c r="D45" s="40" t="s">
        <v>37</v>
      </c>
      <c r="E45" s="40">
        <v>4</v>
      </c>
      <c r="F45" s="40">
        <v>5500</v>
      </c>
      <c r="G45" s="40">
        <v>22000</v>
      </c>
      <c r="H45" s="40" t="s">
        <v>14</v>
      </c>
      <c r="I45" s="40" t="s">
        <v>25</v>
      </c>
      <c r="J45" s="40" t="s">
        <v>16</v>
      </c>
      <c r="K45" s="40" t="s">
        <v>29</v>
      </c>
      <c r="L45" s="40" t="str">
        <f t="shared" si="0"/>
        <v>March</v>
      </c>
    </row>
    <row r="46" spans="1:12">
      <c r="A46" s="50" t="s">
        <v>91</v>
      </c>
      <c r="B46" s="62">
        <v>46158</v>
      </c>
      <c r="C46" s="43" t="s">
        <v>70</v>
      </c>
      <c r="D46" s="43" t="s">
        <v>68</v>
      </c>
      <c r="E46" s="43">
        <v>3</v>
      </c>
      <c r="F46" s="43">
        <v>12000</v>
      </c>
      <c r="G46" s="43">
        <v>36000</v>
      </c>
      <c r="H46" s="43" t="s">
        <v>34</v>
      </c>
      <c r="I46" s="43" t="s">
        <v>15</v>
      </c>
      <c r="J46" s="43" t="s">
        <v>47</v>
      </c>
      <c r="K46" s="43" t="s">
        <v>23</v>
      </c>
      <c r="L46" s="43" t="str">
        <f t="shared" si="0"/>
        <v>May</v>
      </c>
    </row>
    <row r="47" spans="1:12">
      <c r="A47" s="39" t="s">
        <v>92</v>
      </c>
      <c r="B47" s="63">
        <v>46091</v>
      </c>
      <c r="C47" s="40" t="s">
        <v>32</v>
      </c>
      <c r="D47" s="40" t="s">
        <v>33</v>
      </c>
      <c r="E47" s="40">
        <v>3</v>
      </c>
      <c r="F47" s="40">
        <v>18000</v>
      </c>
      <c r="G47" s="40">
        <v>54000</v>
      </c>
      <c r="H47" s="40" t="s">
        <v>14</v>
      </c>
      <c r="I47" s="40" t="s">
        <v>25</v>
      </c>
      <c r="J47" s="40" t="s">
        <v>47</v>
      </c>
      <c r="K47" s="40" t="s">
        <v>29</v>
      </c>
      <c r="L47" s="40" t="str">
        <f t="shared" si="0"/>
        <v>March</v>
      </c>
    </row>
    <row r="48" spans="1:12">
      <c r="A48" s="50" t="s">
        <v>93</v>
      </c>
      <c r="B48" s="62">
        <v>46123</v>
      </c>
      <c r="C48" s="43" t="s">
        <v>61</v>
      </c>
      <c r="D48" s="43" t="s">
        <v>37</v>
      </c>
      <c r="E48" s="43">
        <v>1</v>
      </c>
      <c r="F48" s="43">
        <v>5500</v>
      </c>
      <c r="G48" s="43">
        <v>5500</v>
      </c>
      <c r="H48" s="43" t="s">
        <v>34</v>
      </c>
      <c r="I48" s="43" t="s">
        <v>15</v>
      </c>
      <c r="J48" s="43" t="s">
        <v>16</v>
      </c>
      <c r="K48" s="43" t="s">
        <v>23</v>
      </c>
      <c r="L48" s="43" t="str">
        <f t="shared" si="0"/>
        <v>April</v>
      </c>
    </row>
    <row r="49" spans="1:12">
      <c r="A49" s="39" t="s">
        <v>94</v>
      </c>
      <c r="B49" s="63">
        <v>46074</v>
      </c>
      <c r="C49" s="40" t="s">
        <v>43</v>
      </c>
      <c r="D49" s="40" t="s">
        <v>20</v>
      </c>
      <c r="E49" s="40">
        <v>1</v>
      </c>
      <c r="F49" s="40">
        <v>9500</v>
      </c>
      <c r="G49" s="40">
        <v>9500</v>
      </c>
      <c r="H49" s="40" t="s">
        <v>14</v>
      </c>
      <c r="I49" s="40" t="s">
        <v>15</v>
      </c>
      <c r="J49" s="40" t="s">
        <v>22</v>
      </c>
      <c r="K49" s="40" t="s">
        <v>48</v>
      </c>
      <c r="L49" s="40" t="str">
        <f t="shared" si="0"/>
        <v>February</v>
      </c>
    </row>
    <row r="50" spans="1:12">
      <c r="A50" s="50" t="s">
        <v>95</v>
      </c>
      <c r="B50" s="62">
        <v>46130</v>
      </c>
      <c r="C50" s="43" t="s">
        <v>39</v>
      </c>
      <c r="D50" s="43" t="s">
        <v>37</v>
      </c>
      <c r="E50" s="43">
        <v>3</v>
      </c>
      <c r="F50" s="43">
        <v>1800</v>
      </c>
      <c r="G50" s="43">
        <v>5400</v>
      </c>
      <c r="H50" s="43" t="s">
        <v>34</v>
      </c>
      <c r="I50" s="43" t="s">
        <v>15</v>
      </c>
      <c r="J50" s="43" t="s">
        <v>47</v>
      </c>
      <c r="K50" s="43" t="s">
        <v>48</v>
      </c>
      <c r="L50" s="43" t="str">
        <f t="shared" si="0"/>
        <v>April</v>
      </c>
    </row>
    <row r="51" spans="1:12">
      <c r="A51" s="39" t="s">
        <v>96</v>
      </c>
      <c r="B51" s="63">
        <v>46103</v>
      </c>
      <c r="C51" s="40" t="s">
        <v>67</v>
      </c>
      <c r="D51" s="40" t="s">
        <v>68</v>
      </c>
      <c r="E51" s="40">
        <v>4</v>
      </c>
      <c r="F51" s="40">
        <v>6500</v>
      </c>
      <c r="G51" s="40">
        <v>26000</v>
      </c>
      <c r="H51" s="40" t="s">
        <v>21</v>
      </c>
      <c r="I51" s="40" t="s">
        <v>15</v>
      </c>
      <c r="J51" s="40" t="s">
        <v>47</v>
      </c>
      <c r="K51" s="40" t="s">
        <v>48</v>
      </c>
      <c r="L51" s="40" t="str">
        <f t="shared" si="0"/>
        <v>March</v>
      </c>
    </row>
    <row r="52" spans="1:12">
      <c r="A52" s="50" t="s">
        <v>97</v>
      </c>
      <c r="B52" s="62">
        <v>46077</v>
      </c>
      <c r="C52" s="43" t="s">
        <v>19</v>
      </c>
      <c r="D52" s="43" t="s">
        <v>20</v>
      </c>
      <c r="E52" s="43">
        <v>2</v>
      </c>
      <c r="F52" s="43">
        <v>17500</v>
      </c>
      <c r="G52" s="43">
        <v>35000</v>
      </c>
      <c r="H52" s="43" t="s">
        <v>14</v>
      </c>
      <c r="I52" s="43" t="s">
        <v>25</v>
      </c>
      <c r="J52" s="43" t="s">
        <v>28</v>
      </c>
      <c r="K52" s="43" t="s">
        <v>48</v>
      </c>
      <c r="L52" s="43" t="str">
        <f t="shared" si="0"/>
        <v>February</v>
      </c>
    </row>
    <row r="53" spans="1:12">
      <c r="A53" s="39" t="s">
        <v>98</v>
      </c>
      <c r="B53" s="63">
        <v>46056</v>
      </c>
      <c r="C53" s="40" t="s">
        <v>56</v>
      </c>
      <c r="D53" s="40" t="s">
        <v>33</v>
      </c>
      <c r="E53" s="40">
        <v>1</v>
      </c>
      <c r="F53" s="40">
        <v>14500</v>
      </c>
      <c r="G53" s="40">
        <v>14500</v>
      </c>
      <c r="H53" s="40" t="s">
        <v>34</v>
      </c>
      <c r="I53" s="40" t="s">
        <v>25</v>
      </c>
      <c r="J53" s="40" t="s">
        <v>47</v>
      </c>
      <c r="K53" s="40" t="s">
        <v>29</v>
      </c>
      <c r="L53" s="40" t="str">
        <f t="shared" si="0"/>
        <v>February</v>
      </c>
    </row>
    <row r="54" spans="1:12">
      <c r="A54" s="50" t="s">
        <v>99</v>
      </c>
      <c r="B54" s="62">
        <v>46134</v>
      </c>
      <c r="C54" s="43" t="s">
        <v>67</v>
      </c>
      <c r="D54" s="43" t="s">
        <v>68</v>
      </c>
      <c r="E54" s="43">
        <v>2</v>
      </c>
      <c r="F54" s="43">
        <v>6500</v>
      </c>
      <c r="G54" s="43">
        <v>13000</v>
      </c>
      <c r="H54" s="43" t="s">
        <v>14</v>
      </c>
      <c r="I54" s="43" t="s">
        <v>15</v>
      </c>
      <c r="J54" s="43" t="s">
        <v>16</v>
      </c>
      <c r="K54" s="43" t="s">
        <v>23</v>
      </c>
      <c r="L54" s="43" t="str">
        <f t="shared" si="0"/>
        <v>April</v>
      </c>
    </row>
    <row r="55" spans="1:12">
      <c r="A55" s="39" t="s">
        <v>100</v>
      </c>
      <c r="B55" s="63">
        <v>46097</v>
      </c>
      <c r="C55" s="40" t="s">
        <v>27</v>
      </c>
      <c r="D55" s="40" t="s">
        <v>20</v>
      </c>
      <c r="E55" s="40">
        <v>3</v>
      </c>
      <c r="F55" s="40">
        <v>28000</v>
      </c>
      <c r="G55" s="40">
        <v>84000</v>
      </c>
      <c r="H55" s="40" t="s">
        <v>34</v>
      </c>
      <c r="I55" s="40" t="s">
        <v>15</v>
      </c>
      <c r="J55" s="40" t="s">
        <v>22</v>
      </c>
      <c r="K55" s="40" t="s">
        <v>48</v>
      </c>
      <c r="L55" s="40" t="str">
        <f t="shared" si="0"/>
        <v>March</v>
      </c>
    </row>
    <row r="56" spans="1:12">
      <c r="A56" s="50" t="s">
        <v>101</v>
      </c>
      <c r="B56" s="62">
        <v>46082</v>
      </c>
      <c r="C56" s="43" t="s">
        <v>36</v>
      </c>
      <c r="D56" s="43" t="s">
        <v>37</v>
      </c>
      <c r="E56" s="43">
        <v>1</v>
      </c>
      <c r="F56" s="43">
        <v>2500</v>
      </c>
      <c r="G56" s="43">
        <v>2500</v>
      </c>
      <c r="H56" s="43" t="s">
        <v>41</v>
      </c>
      <c r="I56" s="43" t="s">
        <v>25</v>
      </c>
      <c r="J56" s="43" t="s">
        <v>28</v>
      </c>
      <c r="K56" s="43" t="s">
        <v>48</v>
      </c>
      <c r="L56" s="43" t="str">
        <f t="shared" si="0"/>
        <v>March</v>
      </c>
    </row>
    <row r="57" spans="1:12">
      <c r="A57" s="39" t="s">
        <v>102</v>
      </c>
      <c r="B57" s="63">
        <v>46097</v>
      </c>
      <c r="C57" s="40" t="s">
        <v>39</v>
      </c>
      <c r="D57" s="40" t="s">
        <v>37</v>
      </c>
      <c r="E57" s="40">
        <v>3</v>
      </c>
      <c r="F57" s="40">
        <v>1800</v>
      </c>
      <c r="G57" s="40">
        <v>5400</v>
      </c>
      <c r="H57" s="40" t="s">
        <v>41</v>
      </c>
      <c r="I57" s="40" t="s">
        <v>25</v>
      </c>
      <c r="J57" s="40" t="s">
        <v>28</v>
      </c>
      <c r="K57" s="40" t="s">
        <v>17</v>
      </c>
      <c r="L57" s="40" t="str">
        <f t="shared" si="0"/>
        <v>March</v>
      </c>
    </row>
    <row r="58" spans="1:12">
      <c r="A58" s="50" t="s">
        <v>103</v>
      </c>
      <c r="B58" s="62">
        <v>46124</v>
      </c>
      <c r="C58" s="43" t="s">
        <v>27</v>
      </c>
      <c r="D58" s="43" t="s">
        <v>20</v>
      </c>
      <c r="E58" s="43">
        <v>4</v>
      </c>
      <c r="F58" s="43">
        <v>28000</v>
      </c>
      <c r="G58" s="43">
        <v>112000</v>
      </c>
      <c r="H58" s="43" t="s">
        <v>21</v>
      </c>
      <c r="I58" s="43" t="s">
        <v>25</v>
      </c>
      <c r="J58" s="43" t="s">
        <v>44</v>
      </c>
      <c r="K58" s="43" t="s">
        <v>48</v>
      </c>
      <c r="L58" s="43" t="str">
        <f t="shared" si="0"/>
        <v>April</v>
      </c>
    </row>
    <row r="59" spans="1:12">
      <c r="A59" s="39" t="s">
        <v>104</v>
      </c>
      <c r="B59" s="63">
        <v>46073</v>
      </c>
      <c r="C59" s="40" t="s">
        <v>27</v>
      </c>
      <c r="D59" s="40" t="s">
        <v>20</v>
      </c>
      <c r="E59" s="40">
        <v>4</v>
      </c>
      <c r="F59" s="40">
        <v>28000</v>
      </c>
      <c r="G59" s="40">
        <v>112000</v>
      </c>
      <c r="H59" s="40" t="s">
        <v>21</v>
      </c>
      <c r="I59" s="40" t="s">
        <v>15</v>
      </c>
      <c r="J59" s="40" t="s">
        <v>28</v>
      </c>
      <c r="K59" s="40" t="s">
        <v>17</v>
      </c>
      <c r="L59" s="40" t="str">
        <f t="shared" si="0"/>
        <v>February</v>
      </c>
    </row>
    <row r="60" spans="1:12">
      <c r="A60" s="50" t="s">
        <v>105</v>
      </c>
      <c r="B60" s="62">
        <v>46135</v>
      </c>
      <c r="C60" s="43" t="s">
        <v>19</v>
      </c>
      <c r="D60" s="43" t="s">
        <v>20</v>
      </c>
      <c r="E60" s="43">
        <v>1</v>
      </c>
      <c r="F60" s="43">
        <v>17500</v>
      </c>
      <c r="G60" s="43">
        <v>17500</v>
      </c>
      <c r="H60" s="43" t="s">
        <v>41</v>
      </c>
      <c r="I60" s="43" t="s">
        <v>15</v>
      </c>
      <c r="J60" s="43" t="s">
        <v>28</v>
      </c>
      <c r="K60" s="43" t="s">
        <v>29</v>
      </c>
      <c r="L60" s="43" t="str">
        <f t="shared" si="0"/>
        <v>April</v>
      </c>
    </row>
    <row r="61" spans="1:12">
      <c r="A61" s="39" t="s">
        <v>106</v>
      </c>
      <c r="B61" s="63">
        <v>46071</v>
      </c>
      <c r="C61" s="40" t="s">
        <v>39</v>
      </c>
      <c r="D61" s="40" t="s">
        <v>37</v>
      </c>
      <c r="E61" s="40">
        <v>3</v>
      </c>
      <c r="F61" s="40">
        <v>1800</v>
      </c>
      <c r="G61" s="40">
        <v>5400</v>
      </c>
      <c r="H61" s="40" t="s">
        <v>14</v>
      </c>
      <c r="I61" s="40" t="s">
        <v>15</v>
      </c>
      <c r="J61" s="40" t="s">
        <v>16</v>
      </c>
      <c r="K61" s="40" t="s">
        <v>48</v>
      </c>
      <c r="L61" s="40" t="str">
        <f t="shared" si="0"/>
        <v>February</v>
      </c>
    </row>
    <row r="62" spans="1:12">
      <c r="A62" s="50" t="s">
        <v>107</v>
      </c>
      <c r="B62" s="62">
        <v>46127</v>
      </c>
      <c r="C62" s="43" t="s">
        <v>54</v>
      </c>
      <c r="D62" s="43" t="s">
        <v>20</v>
      </c>
      <c r="E62" s="43">
        <v>3</v>
      </c>
      <c r="F62" s="43">
        <v>8000</v>
      </c>
      <c r="G62" s="43">
        <v>24000</v>
      </c>
      <c r="H62" s="43" t="s">
        <v>14</v>
      </c>
      <c r="I62" s="43" t="s">
        <v>25</v>
      </c>
      <c r="J62" s="43" t="s">
        <v>47</v>
      </c>
      <c r="K62" s="43" t="s">
        <v>48</v>
      </c>
      <c r="L62" s="43" t="str">
        <f t="shared" si="0"/>
        <v>April</v>
      </c>
    </row>
    <row r="63" spans="1:12">
      <c r="A63" s="39" t="s">
        <v>108</v>
      </c>
      <c r="B63" s="63">
        <v>46064</v>
      </c>
      <c r="C63" s="40" t="s">
        <v>39</v>
      </c>
      <c r="D63" s="40" t="s">
        <v>37</v>
      </c>
      <c r="E63" s="40">
        <v>1</v>
      </c>
      <c r="F63" s="40">
        <v>1800</v>
      </c>
      <c r="G63" s="40">
        <v>1800</v>
      </c>
      <c r="H63" s="40" t="s">
        <v>41</v>
      </c>
      <c r="I63" s="40" t="s">
        <v>25</v>
      </c>
      <c r="J63" s="40" t="s">
        <v>28</v>
      </c>
      <c r="K63" s="40" t="s">
        <v>29</v>
      </c>
      <c r="L63" s="40" t="str">
        <f t="shared" si="0"/>
        <v>February</v>
      </c>
    </row>
    <row r="64" spans="1:12">
      <c r="A64" s="50" t="s">
        <v>109</v>
      </c>
      <c r="B64" s="62">
        <v>46148</v>
      </c>
      <c r="C64" s="43" t="s">
        <v>32</v>
      </c>
      <c r="D64" s="43" t="s">
        <v>33</v>
      </c>
      <c r="E64" s="43">
        <v>1</v>
      </c>
      <c r="F64" s="43">
        <v>18000</v>
      </c>
      <c r="G64" s="43">
        <v>18000</v>
      </c>
      <c r="H64" s="43" t="s">
        <v>41</v>
      </c>
      <c r="I64" s="43" t="s">
        <v>15</v>
      </c>
      <c r="J64" s="43" t="s">
        <v>28</v>
      </c>
      <c r="K64" s="43" t="s">
        <v>29</v>
      </c>
      <c r="L64" s="43" t="str">
        <f t="shared" si="0"/>
        <v>May</v>
      </c>
    </row>
    <row r="65" spans="1:12">
      <c r="A65" s="39" t="s">
        <v>110</v>
      </c>
      <c r="B65" s="63">
        <v>46099</v>
      </c>
      <c r="C65" s="40" t="s">
        <v>39</v>
      </c>
      <c r="D65" s="40" t="s">
        <v>37</v>
      </c>
      <c r="E65" s="40">
        <v>3</v>
      </c>
      <c r="F65" s="40">
        <v>1800</v>
      </c>
      <c r="G65" s="40">
        <v>5400</v>
      </c>
      <c r="H65" s="40" t="s">
        <v>41</v>
      </c>
      <c r="I65" s="40" t="s">
        <v>25</v>
      </c>
      <c r="J65" s="40" t="s">
        <v>44</v>
      </c>
      <c r="K65" s="40" t="s">
        <v>48</v>
      </c>
      <c r="L65" s="40" t="str">
        <f t="shared" si="0"/>
        <v>March</v>
      </c>
    </row>
    <row r="66" spans="1:12">
      <c r="A66" s="50" t="s">
        <v>112</v>
      </c>
      <c r="B66" s="62">
        <v>46108</v>
      </c>
      <c r="C66" s="43" t="s">
        <v>54</v>
      </c>
      <c r="D66" s="43" t="s">
        <v>20</v>
      </c>
      <c r="E66" s="43">
        <v>4</v>
      </c>
      <c r="F66" s="43">
        <v>8000</v>
      </c>
      <c r="G66" s="43">
        <v>32000</v>
      </c>
      <c r="H66" s="43" t="s">
        <v>34</v>
      </c>
      <c r="I66" s="43" t="s">
        <v>15</v>
      </c>
      <c r="J66" s="43" t="s">
        <v>16</v>
      </c>
      <c r="K66" s="43" t="s">
        <v>23</v>
      </c>
      <c r="L66" s="43" t="str">
        <f t="shared" si="0"/>
        <v>March</v>
      </c>
    </row>
    <row r="67" spans="1:12">
      <c r="A67" s="39" t="s">
        <v>113</v>
      </c>
      <c r="B67" s="63">
        <v>46123</v>
      </c>
      <c r="C67" s="40" t="s">
        <v>114</v>
      </c>
      <c r="D67" s="40" t="s">
        <v>13</v>
      </c>
      <c r="E67" s="40">
        <v>3</v>
      </c>
      <c r="F67" s="40">
        <v>22000</v>
      </c>
      <c r="G67" s="40">
        <v>66000</v>
      </c>
      <c r="H67" s="40" t="s">
        <v>41</v>
      </c>
      <c r="I67" s="40" t="s">
        <v>15</v>
      </c>
      <c r="J67" s="40" t="s">
        <v>22</v>
      </c>
      <c r="K67" s="40" t="s">
        <v>23</v>
      </c>
      <c r="L67" s="40" t="str">
        <f t="shared" ref="L67:L130" si="1">TEXT($B67,"mmmm")</f>
        <v>April</v>
      </c>
    </row>
    <row r="68" spans="1:12">
      <c r="A68" s="50" t="s">
        <v>115</v>
      </c>
      <c r="B68" s="62">
        <v>46161</v>
      </c>
      <c r="C68" s="43" t="s">
        <v>39</v>
      </c>
      <c r="D68" s="43" t="s">
        <v>37</v>
      </c>
      <c r="E68" s="43">
        <v>1</v>
      </c>
      <c r="F68" s="43">
        <v>1800</v>
      </c>
      <c r="G68" s="43">
        <v>1800</v>
      </c>
      <c r="H68" s="43" t="s">
        <v>34</v>
      </c>
      <c r="I68" s="43" t="s">
        <v>15</v>
      </c>
      <c r="J68" s="43" t="s">
        <v>28</v>
      </c>
      <c r="K68" s="43" t="s">
        <v>29</v>
      </c>
      <c r="L68" s="43" t="str">
        <f t="shared" si="1"/>
        <v>May</v>
      </c>
    </row>
    <row r="69" spans="1:12">
      <c r="A69" s="39" t="s">
        <v>116</v>
      </c>
      <c r="B69" s="63">
        <v>46130</v>
      </c>
      <c r="C69" s="40" t="s">
        <v>56</v>
      </c>
      <c r="D69" s="40" t="s">
        <v>33</v>
      </c>
      <c r="E69" s="40">
        <v>2</v>
      </c>
      <c r="F69" s="40">
        <v>14500</v>
      </c>
      <c r="G69" s="40">
        <v>29000</v>
      </c>
      <c r="H69" s="40" t="s">
        <v>41</v>
      </c>
      <c r="I69" s="40" t="s">
        <v>15</v>
      </c>
      <c r="J69" s="40" t="s">
        <v>22</v>
      </c>
      <c r="K69" s="40" t="s">
        <v>29</v>
      </c>
      <c r="L69" s="40" t="str">
        <f t="shared" si="1"/>
        <v>April</v>
      </c>
    </row>
    <row r="70" spans="1:12">
      <c r="A70" s="50" t="s">
        <v>117</v>
      </c>
      <c r="B70" s="62">
        <v>46165</v>
      </c>
      <c r="C70" s="43" t="s">
        <v>36</v>
      </c>
      <c r="D70" s="43" t="s">
        <v>37</v>
      </c>
      <c r="E70" s="43">
        <v>1</v>
      </c>
      <c r="F70" s="43">
        <v>2500</v>
      </c>
      <c r="G70" s="43">
        <v>2500</v>
      </c>
      <c r="H70" s="43" t="s">
        <v>14</v>
      </c>
      <c r="I70" s="43" t="s">
        <v>25</v>
      </c>
      <c r="J70" s="43" t="s">
        <v>28</v>
      </c>
      <c r="K70" s="43" t="s">
        <v>29</v>
      </c>
      <c r="L70" s="43" t="str">
        <f t="shared" si="1"/>
        <v>May</v>
      </c>
    </row>
    <row r="71" spans="1:12">
      <c r="A71" s="39" t="s">
        <v>118</v>
      </c>
      <c r="B71" s="63">
        <v>46098</v>
      </c>
      <c r="C71" s="40" t="s">
        <v>27</v>
      </c>
      <c r="D71" s="40" t="s">
        <v>20</v>
      </c>
      <c r="E71" s="40">
        <v>1</v>
      </c>
      <c r="F71" s="40">
        <v>28000</v>
      </c>
      <c r="G71" s="40">
        <v>28000</v>
      </c>
      <c r="H71" s="40" t="s">
        <v>21</v>
      </c>
      <c r="I71" s="40" t="s">
        <v>25</v>
      </c>
      <c r="J71" s="40" t="s">
        <v>22</v>
      </c>
      <c r="K71" s="40" t="s">
        <v>48</v>
      </c>
      <c r="L71" s="40" t="str">
        <f t="shared" si="1"/>
        <v>March</v>
      </c>
    </row>
    <row r="72" spans="1:12">
      <c r="A72" s="50" t="s">
        <v>119</v>
      </c>
      <c r="B72" s="62">
        <v>46141</v>
      </c>
      <c r="C72" s="43" t="s">
        <v>54</v>
      </c>
      <c r="D72" s="43" t="s">
        <v>20</v>
      </c>
      <c r="E72" s="43">
        <v>3</v>
      </c>
      <c r="F72" s="43">
        <v>8000</v>
      </c>
      <c r="G72" s="43">
        <v>24000</v>
      </c>
      <c r="H72" s="43" t="s">
        <v>21</v>
      </c>
      <c r="I72" s="43" t="s">
        <v>25</v>
      </c>
      <c r="J72" s="43" t="s">
        <v>22</v>
      </c>
      <c r="K72" s="43" t="s">
        <v>23</v>
      </c>
      <c r="L72" s="43" t="str">
        <f t="shared" si="1"/>
        <v>April</v>
      </c>
    </row>
    <row r="73" spans="1:12">
      <c r="A73" s="39" t="s">
        <v>120</v>
      </c>
      <c r="B73" s="63">
        <v>46157</v>
      </c>
      <c r="C73" s="40" t="s">
        <v>19</v>
      </c>
      <c r="D73" s="40" t="s">
        <v>20</v>
      </c>
      <c r="E73" s="40">
        <v>1</v>
      </c>
      <c r="F73" s="40">
        <v>17500</v>
      </c>
      <c r="G73" s="40">
        <v>17500</v>
      </c>
      <c r="H73" s="40" t="s">
        <v>21</v>
      </c>
      <c r="I73" s="40" t="s">
        <v>25</v>
      </c>
      <c r="J73" s="40" t="s">
        <v>28</v>
      </c>
      <c r="K73" s="40" t="s">
        <v>48</v>
      </c>
      <c r="L73" s="40" t="str">
        <f t="shared" si="1"/>
        <v>May</v>
      </c>
    </row>
    <row r="74" spans="1:12">
      <c r="A74" s="50" t="s">
        <v>121</v>
      </c>
      <c r="B74" s="62">
        <v>46109</v>
      </c>
      <c r="C74" s="43" t="s">
        <v>114</v>
      </c>
      <c r="D74" s="43" t="s">
        <v>13</v>
      </c>
      <c r="E74" s="43">
        <v>3</v>
      </c>
      <c r="F74" s="43">
        <v>22000</v>
      </c>
      <c r="G74" s="43">
        <v>66000</v>
      </c>
      <c r="H74" s="43" t="s">
        <v>34</v>
      </c>
      <c r="I74" s="43" t="s">
        <v>25</v>
      </c>
      <c r="J74" s="43" t="s">
        <v>47</v>
      </c>
      <c r="K74" s="43" t="s">
        <v>17</v>
      </c>
      <c r="L74" s="43" t="str">
        <f t="shared" si="1"/>
        <v>March</v>
      </c>
    </row>
    <row r="75" spans="1:12">
      <c r="A75" s="39" t="s">
        <v>122</v>
      </c>
      <c r="B75" s="63">
        <v>46079</v>
      </c>
      <c r="C75" s="40" t="s">
        <v>67</v>
      </c>
      <c r="D75" s="40" t="s">
        <v>68</v>
      </c>
      <c r="E75" s="40">
        <v>2</v>
      </c>
      <c r="F75" s="40">
        <v>6500</v>
      </c>
      <c r="G75" s="40">
        <v>13000</v>
      </c>
      <c r="H75" s="40" t="s">
        <v>21</v>
      </c>
      <c r="I75" s="40" t="s">
        <v>15</v>
      </c>
      <c r="J75" s="40" t="s">
        <v>28</v>
      </c>
      <c r="K75" s="40" t="s">
        <v>29</v>
      </c>
      <c r="L75" s="40" t="str">
        <f t="shared" si="1"/>
        <v>February</v>
      </c>
    </row>
    <row r="76" spans="1:12">
      <c r="A76" s="50" t="s">
        <v>123</v>
      </c>
      <c r="B76" s="62">
        <v>46081</v>
      </c>
      <c r="C76" s="43" t="s">
        <v>70</v>
      </c>
      <c r="D76" s="43" t="s">
        <v>68</v>
      </c>
      <c r="E76" s="43">
        <v>4</v>
      </c>
      <c r="F76" s="43">
        <v>12000</v>
      </c>
      <c r="G76" s="43">
        <v>48000</v>
      </c>
      <c r="H76" s="43" t="s">
        <v>41</v>
      </c>
      <c r="I76" s="43" t="s">
        <v>25</v>
      </c>
      <c r="J76" s="43" t="s">
        <v>16</v>
      </c>
      <c r="K76" s="43" t="s">
        <v>48</v>
      </c>
      <c r="L76" s="43" t="str">
        <f t="shared" si="1"/>
        <v>February</v>
      </c>
    </row>
    <row r="77" spans="1:12">
      <c r="A77" s="39" t="s">
        <v>124</v>
      </c>
      <c r="B77" s="63">
        <v>46096</v>
      </c>
      <c r="C77" s="40" t="s">
        <v>70</v>
      </c>
      <c r="D77" s="40" t="s">
        <v>68</v>
      </c>
      <c r="E77" s="40">
        <v>3</v>
      </c>
      <c r="F77" s="40">
        <v>12000</v>
      </c>
      <c r="G77" s="40">
        <v>36000</v>
      </c>
      <c r="H77" s="40" t="s">
        <v>14</v>
      </c>
      <c r="I77" s="40" t="s">
        <v>25</v>
      </c>
      <c r="J77" s="40" t="s">
        <v>28</v>
      </c>
      <c r="K77" s="40" t="s">
        <v>17</v>
      </c>
      <c r="L77" s="40" t="str">
        <f t="shared" si="1"/>
        <v>March</v>
      </c>
    </row>
    <row r="78" spans="1:12">
      <c r="A78" s="50" t="s">
        <v>125</v>
      </c>
      <c r="B78" s="62">
        <v>46123</v>
      </c>
      <c r="C78" s="43" t="s">
        <v>32</v>
      </c>
      <c r="D78" s="43" t="s">
        <v>33</v>
      </c>
      <c r="E78" s="43">
        <v>2</v>
      </c>
      <c r="F78" s="43">
        <v>18000</v>
      </c>
      <c r="G78" s="43">
        <v>36000</v>
      </c>
      <c r="H78" s="43" t="s">
        <v>34</v>
      </c>
      <c r="I78" s="43" t="s">
        <v>15</v>
      </c>
      <c r="J78" s="43" t="s">
        <v>28</v>
      </c>
      <c r="K78" s="43" t="s">
        <v>48</v>
      </c>
      <c r="L78" s="43" t="str">
        <f t="shared" si="1"/>
        <v>April</v>
      </c>
    </row>
    <row r="79" spans="1:12">
      <c r="A79" s="39" t="s">
        <v>126</v>
      </c>
      <c r="B79" s="63">
        <v>46088</v>
      </c>
      <c r="C79" s="40" t="s">
        <v>39</v>
      </c>
      <c r="D79" s="40" t="s">
        <v>37</v>
      </c>
      <c r="E79" s="40">
        <v>1</v>
      </c>
      <c r="F79" s="40">
        <v>1800</v>
      </c>
      <c r="G79" s="40">
        <v>1800</v>
      </c>
      <c r="H79" s="40" t="s">
        <v>34</v>
      </c>
      <c r="I79" s="40" t="s">
        <v>25</v>
      </c>
      <c r="J79" s="40" t="s">
        <v>47</v>
      </c>
      <c r="K79" s="40" t="s">
        <v>17</v>
      </c>
      <c r="L79" s="40" t="str">
        <f t="shared" si="1"/>
        <v>March</v>
      </c>
    </row>
    <row r="80" spans="1:12">
      <c r="A80" s="50" t="s">
        <v>127</v>
      </c>
      <c r="B80" s="62">
        <v>46140</v>
      </c>
      <c r="C80" s="43" t="s">
        <v>72</v>
      </c>
      <c r="D80" s="43" t="s">
        <v>13</v>
      </c>
      <c r="E80" s="43">
        <v>3</v>
      </c>
      <c r="F80" s="43">
        <v>18500</v>
      </c>
      <c r="G80" s="43">
        <v>55500</v>
      </c>
      <c r="H80" s="43" t="s">
        <v>21</v>
      </c>
      <c r="I80" s="43" t="s">
        <v>25</v>
      </c>
      <c r="J80" s="43" t="s">
        <v>22</v>
      </c>
      <c r="K80" s="43" t="s">
        <v>17</v>
      </c>
      <c r="L80" s="43" t="str">
        <f t="shared" si="1"/>
        <v>April</v>
      </c>
    </row>
    <row r="81" spans="1:12">
      <c r="A81" s="39" t="s">
        <v>129</v>
      </c>
      <c r="B81" s="63">
        <v>46108</v>
      </c>
      <c r="C81" s="40" t="s">
        <v>65</v>
      </c>
      <c r="D81" s="40" t="s">
        <v>33</v>
      </c>
      <c r="E81" s="40">
        <v>2</v>
      </c>
      <c r="F81" s="40">
        <v>4500</v>
      </c>
      <c r="G81" s="40">
        <v>9000</v>
      </c>
      <c r="H81" s="40" t="s">
        <v>34</v>
      </c>
      <c r="I81" s="40" t="s">
        <v>25</v>
      </c>
      <c r="J81" s="40" t="s">
        <v>22</v>
      </c>
      <c r="K81" s="40" t="s">
        <v>17</v>
      </c>
      <c r="L81" s="40" t="str">
        <f t="shared" si="1"/>
        <v>March</v>
      </c>
    </row>
    <row r="82" spans="1:12">
      <c r="A82" s="50" t="s">
        <v>130</v>
      </c>
      <c r="B82" s="62">
        <v>46055</v>
      </c>
      <c r="C82" s="43" t="s">
        <v>43</v>
      </c>
      <c r="D82" s="43" t="s">
        <v>20</v>
      </c>
      <c r="E82" s="43">
        <v>2</v>
      </c>
      <c r="F82" s="43">
        <v>9500</v>
      </c>
      <c r="G82" s="43">
        <v>19000</v>
      </c>
      <c r="H82" s="43" t="s">
        <v>34</v>
      </c>
      <c r="I82" s="43" t="s">
        <v>25</v>
      </c>
      <c r="J82" s="43" t="s">
        <v>44</v>
      </c>
      <c r="K82" s="43" t="s">
        <v>29</v>
      </c>
      <c r="L82" s="43" t="str">
        <f t="shared" si="1"/>
        <v>February</v>
      </c>
    </row>
    <row r="83" spans="1:12">
      <c r="A83" s="39" t="s">
        <v>131</v>
      </c>
      <c r="B83" s="63">
        <v>46160</v>
      </c>
      <c r="C83" s="40" t="s">
        <v>61</v>
      </c>
      <c r="D83" s="40" t="s">
        <v>37</v>
      </c>
      <c r="E83" s="40">
        <v>4</v>
      </c>
      <c r="F83" s="40">
        <v>5500</v>
      </c>
      <c r="G83" s="40">
        <v>22000</v>
      </c>
      <c r="H83" s="40" t="s">
        <v>21</v>
      </c>
      <c r="I83" s="40" t="s">
        <v>25</v>
      </c>
      <c r="J83" s="40" t="s">
        <v>28</v>
      </c>
      <c r="K83" s="40" t="s">
        <v>23</v>
      </c>
      <c r="L83" s="40" t="str">
        <f t="shared" si="1"/>
        <v>May</v>
      </c>
    </row>
    <row r="84" spans="1:12">
      <c r="A84" s="50" t="s">
        <v>132</v>
      </c>
      <c r="B84" s="62">
        <v>46135</v>
      </c>
      <c r="C84" s="43" t="s">
        <v>72</v>
      </c>
      <c r="D84" s="43" t="s">
        <v>13</v>
      </c>
      <c r="E84" s="43">
        <v>2</v>
      </c>
      <c r="F84" s="43">
        <v>18500</v>
      </c>
      <c r="G84" s="43">
        <v>37000</v>
      </c>
      <c r="H84" s="43" t="s">
        <v>14</v>
      </c>
      <c r="I84" s="43" t="s">
        <v>25</v>
      </c>
      <c r="J84" s="43" t="s">
        <v>28</v>
      </c>
      <c r="K84" s="43" t="s">
        <v>23</v>
      </c>
      <c r="L84" s="43" t="str">
        <f t="shared" si="1"/>
        <v>April</v>
      </c>
    </row>
    <row r="85" spans="1:12">
      <c r="A85" s="39" t="s">
        <v>133</v>
      </c>
      <c r="B85" s="63">
        <v>46155</v>
      </c>
      <c r="C85" s="40" t="s">
        <v>19</v>
      </c>
      <c r="D85" s="40" t="s">
        <v>20</v>
      </c>
      <c r="E85" s="40">
        <v>2</v>
      </c>
      <c r="F85" s="40">
        <v>17500</v>
      </c>
      <c r="G85" s="40">
        <v>35000</v>
      </c>
      <c r="H85" s="40" t="s">
        <v>21</v>
      </c>
      <c r="I85" s="40" t="s">
        <v>25</v>
      </c>
      <c r="J85" s="40" t="s">
        <v>16</v>
      </c>
      <c r="K85" s="40" t="s">
        <v>29</v>
      </c>
      <c r="L85" s="40" t="str">
        <f t="shared" si="1"/>
        <v>May</v>
      </c>
    </row>
    <row r="86" spans="1:12">
      <c r="A86" s="50" t="s">
        <v>134</v>
      </c>
      <c r="B86" s="62">
        <v>46122</v>
      </c>
      <c r="C86" s="43" t="s">
        <v>12</v>
      </c>
      <c r="D86" s="43" t="s">
        <v>13</v>
      </c>
      <c r="E86" s="43">
        <v>2</v>
      </c>
      <c r="F86" s="43">
        <v>7500</v>
      </c>
      <c r="G86" s="43">
        <v>15000</v>
      </c>
      <c r="H86" s="43" t="s">
        <v>14</v>
      </c>
      <c r="I86" s="43" t="s">
        <v>15</v>
      </c>
      <c r="J86" s="43" t="s">
        <v>44</v>
      </c>
      <c r="K86" s="43" t="s">
        <v>29</v>
      </c>
      <c r="L86" s="43" t="str">
        <f t="shared" si="1"/>
        <v>April</v>
      </c>
    </row>
    <row r="87" spans="1:12">
      <c r="A87" s="39" t="s">
        <v>135</v>
      </c>
      <c r="B87" s="63">
        <v>46080</v>
      </c>
      <c r="C87" s="40" t="s">
        <v>56</v>
      </c>
      <c r="D87" s="40" t="s">
        <v>33</v>
      </c>
      <c r="E87" s="40">
        <v>4</v>
      </c>
      <c r="F87" s="40">
        <v>14500</v>
      </c>
      <c r="G87" s="40">
        <v>58000</v>
      </c>
      <c r="H87" s="40" t="s">
        <v>41</v>
      </c>
      <c r="I87" s="40" t="s">
        <v>25</v>
      </c>
      <c r="J87" s="40" t="s">
        <v>22</v>
      </c>
      <c r="K87" s="40" t="s">
        <v>17</v>
      </c>
      <c r="L87" s="40" t="str">
        <f t="shared" si="1"/>
        <v>February</v>
      </c>
    </row>
    <row r="88" spans="1:12">
      <c r="A88" s="50" t="s">
        <v>136</v>
      </c>
      <c r="B88" s="62">
        <v>46067</v>
      </c>
      <c r="C88" s="43" t="s">
        <v>43</v>
      </c>
      <c r="D88" s="43" t="s">
        <v>20</v>
      </c>
      <c r="E88" s="43">
        <v>2</v>
      </c>
      <c r="F88" s="43">
        <v>9500</v>
      </c>
      <c r="G88" s="43">
        <v>19000</v>
      </c>
      <c r="H88" s="43" t="s">
        <v>14</v>
      </c>
      <c r="I88" s="43" t="s">
        <v>25</v>
      </c>
      <c r="J88" s="43" t="s">
        <v>47</v>
      </c>
      <c r="K88" s="43" t="s">
        <v>23</v>
      </c>
      <c r="L88" s="43" t="str">
        <f t="shared" si="1"/>
        <v>February</v>
      </c>
    </row>
    <row r="89" spans="1:12">
      <c r="A89" s="39" t="s">
        <v>137</v>
      </c>
      <c r="B89" s="63">
        <v>46170</v>
      </c>
      <c r="C89" s="40" t="s">
        <v>114</v>
      </c>
      <c r="D89" s="40" t="s">
        <v>13</v>
      </c>
      <c r="E89" s="40">
        <v>2</v>
      </c>
      <c r="F89" s="40">
        <v>22000</v>
      </c>
      <c r="G89" s="40">
        <v>44000</v>
      </c>
      <c r="H89" s="40" t="s">
        <v>21</v>
      </c>
      <c r="I89" s="40" t="s">
        <v>25</v>
      </c>
      <c r="J89" s="40" t="s">
        <v>28</v>
      </c>
      <c r="K89" s="40" t="s">
        <v>29</v>
      </c>
      <c r="L89" s="40" t="str">
        <f t="shared" si="1"/>
        <v>May</v>
      </c>
    </row>
    <row r="90" spans="1:12">
      <c r="A90" s="50" t="s">
        <v>138</v>
      </c>
      <c r="B90" s="62">
        <v>46086</v>
      </c>
      <c r="C90" s="43" t="s">
        <v>67</v>
      </c>
      <c r="D90" s="43" t="s">
        <v>68</v>
      </c>
      <c r="E90" s="43">
        <v>4</v>
      </c>
      <c r="F90" s="43">
        <v>6500</v>
      </c>
      <c r="G90" s="43">
        <v>26000</v>
      </c>
      <c r="H90" s="43" t="s">
        <v>21</v>
      </c>
      <c r="I90" s="43" t="s">
        <v>25</v>
      </c>
      <c r="J90" s="43" t="s">
        <v>28</v>
      </c>
      <c r="K90" s="43" t="s">
        <v>23</v>
      </c>
      <c r="L90" s="43" t="str">
        <f t="shared" si="1"/>
        <v>March</v>
      </c>
    </row>
    <row r="91" spans="1:12">
      <c r="A91" s="39" t="s">
        <v>139</v>
      </c>
      <c r="B91" s="63">
        <v>46071</v>
      </c>
      <c r="C91" s="40" t="s">
        <v>27</v>
      </c>
      <c r="D91" s="40" t="s">
        <v>20</v>
      </c>
      <c r="E91" s="40">
        <v>4</v>
      </c>
      <c r="F91" s="40">
        <v>28000</v>
      </c>
      <c r="G91" s="40">
        <v>112000</v>
      </c>
      <c r="H91" s="40" t="s">
        <v>14</v>
      </c>
      <c r="I91" s="40" t="s">
        <v>25</v>
      </c>
      <c r="J91" s="40" t="s">
        <v>28</v>
      </c>
      <c r="K91" s="40" t="s">
        <v>29</v>
      </c>
      <c r="L91" s="40" t="str">
        <f t="shared" si="1"/>
        <v>February</v>
      </c>
    </row>
    <row r="92" spans="1:12">
      <c r="A92" s="50" t="s">
        <v>140</v>
      </c>
      <c r="B92" s="62">
        <v>46079</v>
      </c>
      <c r="C92" s="43" t="s">
        <v>54</v>
      </c>
      <c r="D92" s="43" t="s">
        <v>20</v>
      </c>
      <c r="E92" s="43">
        <v>4</v>
      </c>
      <c r="F92" s="43">
        <v>8000</v>
      </c>
      <c r="G92" s="43">
        <v>32000</v>
      </c>
      <c r="H92" s="43" t="s">
        <v>34</v>
      </c>
      <c r="I92" s="43" t="s">
        <v>25</v>
      </c>
      <c r="J92" s="43" t="s">
        <v>16</v>
      </c>
      <c r="K92" s="43" t="s">
        <v>17</v>
      </c>
      <c r="L92" s="43" t="str">
        <f t="shared" si="1"/>
        <v>February</v>
      </c>
    </row>
    <row r="93" spans="1:12">
      <c r="A93" s="39" t="s">
        <v>141</v>
      </c>
      <c r="B93" s="63">
        <v>46128</v>
      </c>
      <c r="C93" s="40" t="s">
        <v>32</v>
      </c>
      <c r="D93" s="40" t="s">
        <v>33</v>
      </c>
      <c r="E93" s="40">
        <v>2</v>
      </c>
      <c r="F93" s="40">
        <v>18000</v>
      </c>
      <c r="G93" s="40">
        <v>36000</v>
      </c>
      <c r="H93" s="40" t="s">
        <v>14</v>
      </c>
      <c r="I93" s="40" t="s">
        <v>25</v>
      </c>
      <c r="J93" s="40" t="s">
        <v>22</v>
      </c>
      <c r="K93" s="40" t="s">
        <v>29</v>
      </c>
      <c r="L93" s="40" t="str">
        <f t="shared" si="1"/>
        <v>April</v>
      </c>
    </row>
    <row r="94" spans="1:12">
      <c r="A94" s="50" t="s">
        <v>142</v>
      </c>
      <c r="B94" s="62">
        <v>46163</v>
      </c>
      <c r="C94" s="43" t="s">
        <v>36</v>
      </c>
      <c r="D94" s="43" t="s">
        <v>37</v>
      </c>
      <c r="E94" s="43">
        <v>1</v>
      </c>
      <c r="F94" s="43">
        <v>2500</v>
      </c>
      <c r="G94" s="43">
        <v>2500</v>
      </c>
      <c r="H94" s="43" t="s">
        <v>34</v>
      </c>
      <c r="I94" s="43" t="s">
        <v>25</v>
      </c>
      <c r="J94" s="43" t="s">
        <v>28</v>
      </c>
      <c r="K94" s="43" t="s">
        <v>29</v>
      </c>
      <c r="L94" s="43" t="str">
        <f t="shared" si="1"/>
        <v>May</v>
      </c>
    </row>
    <row r="95" spans="1:12">
      <c r="A95" s="39" t="s">
        <v>143</v>
      </c>
      <c r="B95" s="63">
        <v>46063</v>
      </c>
      <c r="C95" s="40" t="s">
        <v>67</v>
      </c>
      <c r="D95" s="40" t="s">
        <v>68</v>
      </c>
      <c r="E95" s="40">
        <v>2</v>
      </c>
      <c r="F95" s="40">
        <v>6500</v>
      </c>
      <c r="G95" s="40">
        <v>13000</v>
      </c>
      <c r="H95" s="40" t="s">
        <v>41</v>
      </c>
      <c r="I95" s="40" t="s">
        <v>25</v>
      </c>
      <c r="J95" s="40" t="s">
        <v>16</v>
      </c>
      <c r="K95" s="40" t="s">
        <v>17</v>
      </c>
      <c r="L95" s="40" t="str">
        <f t="shared" si="1"/>
        <v>February</v>
      </c>
    </row>
    <row r="96" spans="1:12">
      <c r="A96" s="50" t="s">
        <v>144</v>
      </c>
      <c r="B96" s="62">
        <v>46172</v>
      </c>
      <c r="C96" s="43" t="s">
        <v>27</v>
      </c>
      <c r="D96" s="43" t="s">
        <v>20</v>
      </c>
      <c r="E96" s="43">
        <v>1</v>
      </c>
      <c r="F96" s="43">
        <v>28000</v>
      </c>
      <c r="G96" s="43">
        <v>28000</v>
      </c>
      <c r="H96" s="43" t="s">
        <v>41</v>
      </c>
      <c r="I96" s="43" t="s">
        <v>15</v>
      </c>
      <c r="J96" s="43" t="s">
        <v>47</v>
      </c>
      <c r="K96" s="43" t="s">
        <v>48</v>
      </c>
      <c r="L96" s="43" t="str">
        <f t="shared" si="1"/>
        <v>May</v>
      </c>
    </row>
    <row r="97" spans="1:12">
      <c r="A97" s="39" t="s">
        <v>145</v>
      </c>
      <c r="B97" s="63">
        <v>46119</v>
      </c>
      <c r="C97" s="40" t="s">
        <v>56</v>
      </c>
      <c r="D97" s="40" t="s">
        <v>33</v>
      </c>
      <c r="E97" s="40">
        <v>4</v>
      </c>
      <c r="F97" s="40">
        <v>14500</v>
      </c>
      <c r="G97" s="40">
        <v>58000</v>
      </c>
      <c r="H97" s="40" t="s">
        <v>41</v>
      </c>
      <c r="I97" s="40" t="s">
        <v>15</v>
      </c>
      <c r="J97" s="40" t="s">
        <v>28</v>
      </c>
      <c r="K97" s="40" t="s">
        <v>17</v>
      </c>
      <c r="L97" s="40" t="str">
        <f t="shared" si="1"/>
        <v>April</v>
      </c>
    </row>
    <row r="98" spans="1:12">
      <c r="A98" s="50" t="s">
        <v>146</v>
      </c>
      <c r="B98" s="62">
        <v>46100</v>
      </c>
      <c r="C98" s="43" t="s">
        <v>114</v>
      </c>
      <c r="D98" s="43" t="s">
        <v>13</v>
      </c>
      <c r="E98" s="43">
        <v>3</v>
      </c>
      <c r="F98" s="43">
        <v>22000</v>
      </c>
      <c r="G98" s="43">
        <v>66000</v>
      </c>
      <c r="H98" s="43" t="s">
        <v>21</v>
      </c>
      <c r="I98" s="43" t="s">
        <v>15</v>
      </c>
      <c r="J98" s="43" t="s">
        <v>44</v>
      </c>
      <c r="K98" s="43" t="s">
        <v>48</v>
      </c>
      <c r="L98" s="43" t="str">
        <f t="shared" si="1"/>
        <v>March</v>
      </c>
    </row>
    <row r="99" spans="1:12">
      <c r="A99" s="39" t="s">
        <v>148</v>
      </c>
      <c r="B99" s="63">
        <v>46070</v>
      </c>
      <c r="C99" s="40" t="s">
        <v>43</v>
      </c>
      <c r="D99" s="40" t="s">
        <v>20</v>
      </c>
      <c r="E99" s="40">
        <v>2</v>
      </c>
      <c r="F99" s="40">
        <v>9500</v>
      </c>
      <c r="G99" s="40">
        <v>19000</v>
      </c>
      <c r="H99" s="40" t="s">
        <v>14</v>
      </c>
      <c r="I99" s="40" t="s">
        <v>15</v>
      </c>
      <c r="J99" s="40" t="s">
        <v>28</v>
      </c>
      <c r="K99" s="40" t="s">
        <v>29</v>
      </c>
      <c r="L99" s="40" t="str">
        <f t="shared" si="1"/>
        <v>February</v>
      </c>
    </row>
    <row r="100" spans="1:12">
      <c r="A100" s="50" t="s">
        <v>149</v>
      </c>
      <c r="B100" s="62">
        <v>46071</v>
      </c>
      <c r="C100" s="43" t="s">
        <v>54</v>
      </c>
      <c r="D100" s="43" t="s">
        <v>20</v>
      </c>
      <c r="E100" s="43">
        <v>2</v>
      </c>
      <c r="F100" s="43">
        <v>8000</v>
      </c>
      <c r="G100" s="43">
        <v>16000</v>
      </c>
      <c r="H100" s="43" t="s">
        <v>34</v>
      </c>
      <c r="I100" s="43" t="s">
        <v>25</v>
      </c>
      <c r="J100" s="43" t="s">
        <v>44</v>
      </c>
      <c r="K100" s="43" t="s">
        <v>17</v>
      </c>
      <c r="L100" s="43" t="str">
        <f t="shared" si="1"/>
        <v>February</v>
      </c>
    </row>
    <row r="101" spans="1:12">
      <c r="A101" s="39" t="s">
        <v>150</v>
      </c>
      <c r="B101" s="63">
        <v>46142</v>
      </c>
      <c r="C101" s="40" t="s">
        <v>114</v>
      </c>
      <c r="D101" s="40" t="s">
        <v>13</v>
      </c>
      <c r="E101" s="40">
        <v>2</v>
      </c>
      <c r="F101" s="40">
        <v>22000</v>
      </c>
      <c r="G101" s="40">
        <v>44000</v>
      </c>
      <c r="H101" s="40" t="s">
        <v>14</v>
      </c>
      <c r="I101" s="40" t="s">
        <v>15</v>
      </c>
      <c r="J101" s="40" t="s">
        <v>44</v>
      </c>
      <c r="K101" s="40" t="s">
        <v>17</v>
      </c>
      <c r="L101" s="40" t="str">
        <f t="shared" si="1"/>
        <v>April</v>
      </c>
    </row>
    <row r="102" spans="1:12">
      <c r="A102" s="50" t="s">
        <v>151</v>
      </c>
      <c r="B102" s="62">
        <v>46170</v>
      </c>
      <c r="C102" s="43" t="s">
        <v>27</v>
      </c>
      <c r="D102" s="43" t="s">
        <v>20</v>
      </c>
      <c r="E102" s="43">
        <v>4</v>
      </c>
      <c r="F102" s="43">
        <v>28000</v>
      </c>
      <c r="G102" s="43">
        <v>112000</v>
      </c>
      <c r="H102" s="43" t="s">
        <v>14</v>
      </c>
      <c r="I102" s="43" t="s">
        <v>25</v>
      </c>
      <c r="J102" s="43" t="s">
        <v>44</v>
      </c>
      <c r="K102" s="43" t="s">
        <v>29</v>
      </c>
      <c r="L102" s="43" t="str">
        <f t="shared" si="1"/>
        <v>May</v>
      </c>
    </row>
    <row r="103" spans="1:12">
      <c r="A103" s="39" t="s">
        <v>152</v>
      </c>
      <c r="B103" s="63">
        <v>46113</v>
      </c>
      <c r="C103" s="40" t="s">
        <v>65</v>
      </c>
      <c r="D103" s="40" t="s">
        <v>33</v>
      </c>
      <c r="E103" s="40">
        <v>1</v>
      </c>
      <c r="F103" s="40">
        <v>4500</v>
      </c>
      <c r="G103" s="40">
        <v>4500</v>
      </c>
      <c r="H103" s="40" t="s">
        <v>21</v>
      </c>
      <c r="I103" s="40" t="s">
        <v>15</v>
      </c>
      <c r="J103" s="40" t="s">
        <v>28</v>
      </c>
      <c r="K103" s="40" t="s">
        <v>48</v>
      </c>
      <c r="L103" s="40" t="str">
        <f t="shared" si="1"/>
        <v>April</v>
      </c>
    </row>
    <row r="104" spans="1:12">
      <c r="A104" s="50" t="s">
        <v>153</v>
      </c>
      <c r="B104" s="62">
        <v>46114</v>
      </c>
      <c r="C104" s="43" t="s">
        <v>43</v>
      </c>
      <c r="D104" s="43" t="s">
        <v>20</v>
      </c>
      <c r="E104" s="43">
        <v>1</v>
      </c>
      <c r="F104" s="43">
        <v>9500</v>
      </c>
      <c r="G104" s="43">
        <v>9500</v>
      </c>
      <c r="H104" s="43" t="s">
        <v>14</v>
      </c>
      <c r="I104" s="43" t="s">
        <v>15</v>
      </c>
      <c r="J104" s="43" t="s">
        <v>22</v>
      </c>
      <c r="K104" s="43" t="s">
        <v>29</v>
      </c>
      <c r="L104" s="43" t="str">
        <f t="shared" si="1"/>
        <v>April</v>
      </c>
    </row>
    <row r="105" spans="1:12">
      <c r="A105" s="39" t="s">
        <v>154</v>
      </c>
      <c r="B105" s="63">
        <v>46096</v>
      </c>
      <c r="C105" s="40" t="s">
        <v>61</v>
      </c>
      <c r="D105" s="40" t="s">
        <v>37</v>
      </c>
      <c r="E105" s="40">
        <v>3</v>
      </c>
      <c r="F105" s="40">
        <v>5500</v>
      </c>
      <c r="G105" s="40">
        <v>16500</v>
      </c>
      <c r="H105" s="40" t="s">
        <v>14</v>
      </c>
      <c r="I105" s="40" t="s">
        <v>15</v>
      </c>
      <c r="J105" s="40" t="s">
        <v>16</v>
      </c>
      <c r="K105" s="40" t="s">
        <v>48</v>
      </c>
      <c r="L105" s="40" t="str">
        <f t="shared" si="1"/>
        <v>March</v>
      </c>
    </row>
    <row r="106" spans="1:12">
      <c r="A106" s="50" t="s">
        <v>155</v>
      </c>
      <c r="B106" s="62">
        <v>46108</v>
      </c>
      <c r="C106" s="43" t="s">
        <v>54</v>
      </c>
      <c r="D106" s="43" t="s">
        <v>20</v>
      </c>
      <c r="E106" s="43">
        <v>1</v>
      </c>
      <c r="F106" s="43">
        <v>8000</v>
      </c>
      <c r="G106" s="43">
        <v>8000</v>
      </c>
      <c r="H106" s="43" t="s">
        <v>21</v>
      </c>
      <c r="I106" s="43" t="s">
        <v>15</v>
      </c>
      <c r="J106" s="43" t="s">
        <v>44</v>
      </c>
      <c r="K106" s="43" t="s">
        <v>48</v>
      </c>
      <c r="L106" s="43" t="str">
        <f t="shared" si="1"/>
        <v>March</v>
      </c>
    </row>
    <row r="107" spans="1:12">
      <c r="A107" s="39" t="s">
        <v>156</v>
      </c>
      <c r="B107" s="63">
        <v>46081</v>
      </c>
      <c r="C107" s="40" t="s">
        <v>56</v>
      </c>
      <c r="D107" s="40" t="s">
        <v>33</v>
      </c>
      <c r="E107" s="40">
        <v>4</v>
      </c>
      <c r="F107" s="40">
        <v>14500</v>
      </c>
      <c r="G107" s="40">
        <v>58000</v>
      </c>
      <c r="H107" s="40" t="s">
        <v>34</v>
      </c>
      <c r="I107" s="40" t="s">
        <v>15</v>
      </c>
      <c r="J107" s="40" t="s">
        <v>16</v>
      </c>
      <c r="K107" s="40" t="s">
        <v>17</v>
      </c>
      <c r="L107" s="40" t="str">
        <f t="shared" si="1"/>
        <v>February</v>
      </c>
    </row>
    <row r="108" spans="1:12">
      <c r="A108" s="50" t="s">
        <v>157</v>
      </c>
      <c r="B108" s="62">
        <v>46112</v>
      </c>
      <c r="C108" s="43" t="s">
        <v>43</v>
      </c>
      <c r="D108" s="43" t="s">
        <v>20</v>
      </c>
      <c r="E108" s="43">
        <v>4</v>
      </c>
      <c r="F108" s="43">
        <v>9500</v>
      </c>
      <c r="G108" s="43">
        <v>38000</v>
      </c>
      <c r="H108" s="43" t="s">
        <v>34</v>
      </c>
      <c r="I108" s="43" t="s">
        <v>15</v>
      </c>
      <c r="J108" s="43" t="s">
        <v>28</v>
      </c>
      <c r="K108" s="43" t="s">
        <v>17</v>
      </c>
      <c r="L108" s="43" t="str">
        <f t="shared" si="1"/>
        <v>March</v>
      </c>
    </row>
    <row r="109" spans="1:12">
      <c r="A109" s="39" t="s">
        <v>158</v>
      </c>
      <c r="B109" s="63">
        <v>46065</v>
      </c>
      <c r="C109" s="40" t="s">
        <v>65</v>
      </c>
      <c r="D109" s="40" t="s">
        <v>33</v>
      </c>
      <c r="E109" s="40">
        <v>4</v>
      </c>
      <c r="F109" s="40">
        <v>4500</v>
      </c>
      <c r="G109" s="40">
        <v>18000</v>
      </c>
      <c r="H109" s="40" t="s">
        <v>41</v>
      </c>
      <c r="I109" s="40" t="s">
        <v>15</v>
      </c>
      <c r="J109" s="40" t="s">
        <v>22</v>
      </c>
      <c r="K109" s="40" t="s">
        <v>23</v>
      </c>
      <c r="L109" s="40" t="str">
        <f t="shared" si="1"/>
        <v>February</v>
      </c>
    </row>
    <row r="110" spans="1:12">
      <c r="A110" s="50" t="s">
        <v>159</v>
      </c>
      <c r="B110" s="62">
        <v>46068</v>
      </c>
      <c r="C110" s="43" t="s">
        <v>67</v>
      </c>
      <c r="D110" s="43" t="s">
        <v>68</v>
      </c>
      <c r="E110" s="43">
        <v>2</v>
      </c>
      <c r="F110" s="43">
        <v>6500</v>
      </c>
      <c r="G110" s="43">
        <v>13000</v>
      </c>
      <c r="H110" s="43" t="s">
        <v>41</v>
      </c>
      <c r="I110" s="43" t="s">
        <v>15</v>
      </c>
      <c r="J110" s="43" t="s">
        <v>47</v>
      </c>
      <c r="K110" s="43" t="s">
        <v>48</v>
      </c>
      <c r="L110" s="43" t="str">
        <f t="shared" si="1"/>
        <v>February</v>
      </c>
    </row>
    <row r="111" spans="1:12">
      <c r="A111" s="39" t="s">
        <v>160</v>
      </c>
      <c r="B111" s="63">
        <v>46057</v>
      </c>
      <c r="C111" s="40" t="s">
        <v>65</v>
      </c>
      <c r="D111" s="40" t="s">
        <v>33</v>
      </c>
      <c r="E111" s="40">
        <v>4</v>
      </c>
      <c r="F111" s="40">
        <v>4500</v>
      </c>
      <c r="G111" s="40">
        <v>18000</v>
      </c>
      <c r="H111" s="40" t="s">
        <v>41</v>
      </c>
      <c r="I111" s="40" t="s">
        <v>25</v>
      </c>
      <c r="J111" s="40" t="s">
        <v>28</v>
      </c>
      <c r="K111" s="40" t="s">
        <v>29</v>
      </c>
      <c r="L111" s="40" t="str">
        <f t="shared" si="1"/>
        <v>February</v>
      </c>
    </row>
    <row r="112" spans="1:12">
      <c r="A112" s="50" t="s">
        <v>161</v>
      </c>
      <c r="B112" s="62">
        <v>46115</v>
      </c>
      <c r="C112" s="43" t="s">
        <v>70</v>
      </c>
      <c r="D112" s="43" t="s">
        <v>68</v>
      </c>
      <c r="E112" s="43">
        <v>1</v>
      </c>
      <c r="F112" s="43">
        <v>12000</v>
      </c>
      <c r="G112" s="43">
        <v>12000</v>
      </c>
      <c r="H112" s="43" t="s">
        <v>21</v>
      </c>
      <c r="I112" s="43" t="s">
        <v>25</v>
      </c>
      <c r="J112" s="43" t="s">
        <v>28</v>
      </c>
      <c r="K112" s="43" t="s">
        <v>17</v>
      </c>
      <c r="L112" s="43" t="str">
        <f t="shared" si="1"/>
        <v>April</v>
      </c>
    </row>
    <row r="113" spans="1:12">
      <c r="A113" s="39" t="s">
        <v>162</v>
      </c>
      <c r="B113" s="63">
        <v>46155</v>
      </c>
      <c r="C113" s="40" t="s">
        <v>114</v>
      </c>
      <c r="D113" s="40" t="s">
        <v>13</v>
      </c>
      <c r="E113" s="40">
        <v>1</v>
      </c>
      <c r="F113" s="40">
        <v>22000</v>
      </c>
      <c r="G113" s="40">
        <v>22000</v>
      </c>
      <c r="H113" s="40" t="s">
        <v>41</v>
      </c>
      <c r="I113" s="40" t="s">
        <v>15</v>
      </c>
      <c r="J113" s="40" t="s">
        <v>28</v>
      </c>
      <c r="K113" s="40" t="s">
        <v>17</v>
      </c>
      <c r="L113" s="40" t="str">
        <f t="shared" si="1"/>
        <v>May</v>
      </c>
    </row>
    <row r="114" spans="1:12">
      <c r="A114" s="50" t="s">
        <v>163</v>
      </c>
      <c r="B114" s="62">
        <v>46173</v>
      </c>
      <c r="C114" s="43" t="s">
        <v>70</v>
      </c>
      <c r="D114" s="43" t="s">
        <v>68</v>
      </c>
      <c r="E114" s="43">
        <v>1</v>
      </c>
      <c r="F114" s="43">
        <v>12000</v>
      </c>
      <c r="G114" s="43">
        <v>12000</v>
      </c>
      <c r="H114" s="43" t="s">
        <v>41</v>
      </c>
      <c r="I114" s="43" t="s">
        <v>25</v>
      </c>
      <c r="J114" s="43" t="s">
        <v>22</v>
      </c>
      <c r="K114" s="43" t="s">
        <v>17</v>
      </c>
      <c r="L114" s="43" t="str">
        <f t="shared" si="1"/>
        <v>May</v>
      </c>
    </row>
    <row r="115" spans="1:12">
      <c r="A115" s="39" t="s">
        <v>165</v>
      </c>
      <c r="B115" s="63">
        <v>46123</v>
      </c>
      <c r="C115" s="40" t="s">
        <v>36</v>
      </c>
      <c r="D115" s="40" t="s">
        <v>37</v>
      </c>
      <c r="E115" s="40">
        <v>3</v>
      </c>
      <c r="F115" s="40">
        <v>2500</v>
      </c>
      <c r="G115" s="40">
        <v>7500</v>
      </c>
      <c r="H115" s="40" t="s">
        <v>14</v>
      </c>
      <c r="I115" s="40" t="s">
        <v>25</v>
      </c>
      <c r="J115" s="40" t="s">
        <v>28</v>
      </c>
      <c r="K115" s="40" t="s">
        <v>23</v>
      </c>
      <c r="L115" s="40" t="str">
        <f t="shared" si="1"/>
        <v>April</v>
      </c>
    </row>
    <row r="116" spans="1:12">
      <c r="A116" s="50" t="s">
        <v>166</v>
      </c>
      <c r="B116" s="62">
        <v>46062</v>
      </c>
      <c r="C116" s="43" t="s">
        <v>12</v>
      </c>
      <c r="D116" s="43" t="s">
        <v>13</v>
      </c>
      <c r="E116" s="43">
        <v>1</v>
      </c>
      <c r="F116" s="43">
        <v>7500</v>
      </c>
      <c r="G116" s="43">
        <v>7500</v>
      </c>
      <c r="H116" s="43" t="s">
        <v>21</v>
      </c>
      <c r="I116" s="43" t="s">
        <v>15</v>
      </c>
      <c r="J116" s="43" t="s">
        <v>47</v>
      </c>
      <c r="K116" s="43" t="s">
        <v>17</v>
      </c>
      <c r="L116" s="43" t="str">
        <f t="shared" si="1"/>
        <v>February</v>
      </c>
    </row>
    <row r="117" spans="1:12">
      <c r="A117" s="39" t="s">
        <v>167</v>
      </c>
      <c r="B117" s="63">
        <v>46123</v>
      </c>
      <c r="C117" s="40" t="s">
        <v>61</v>
      </c>
      <c r="D117" s="40" t="s">
        <v>37</v>
      </c>
      <c r="E117" s="40">
        <v>4</v>
      </c>
      <c r="F117" s="40">
        <v>5500</v>
      </c>
      <c r="G117" s="40">
        <v>22000</v>
      </c>
      <c r="H117" s="40" t="s">
        <v>14</v>
      </c>
      <c r="I117" s="40" t="s">
        <v>15</v>
      </c>
      <c r="J117" s="40" t="s">
        <v>28</v>
      </c>
      <c r="K117" s="40" t="s">
        <v>48</v>
      </c>
      <c r="L117" s="40" t="str">
        <f t="shared" si="1"/>
        <v>April</v>
      </c>
    </row>
    <row r="118" spans="1:12">
      <c r="A118" s="50" t="s">
        <v>168</v>
      </c>
      <c r="B118" s="62">
        <v>46104</v>
      </c>
      <c r="C118" s="43" t="s">
        <v>72</v>
      </c>
      <c r="D118" s="43" t="s">
        <v>13</v>
      </c>
      <c r="E118" s="43">
        <v>1</v>
      </c>
      <c r="F118" s="43">
        <v>18500</v>
      </c>
      <c r="G118" s="43">
        <v>18500</v>
      </c>
      <c r="H118" s="43" t="s">
        <v>14</v>
      </c>
      <c r="I118" s="43" t="s">
        <v>15</v>
      </c>
      <c r="J118" s="43" t="s">
        <v>16</v>
      </c>
      <c r="K118" s="43" t="s">
        <v>29</v>
      </c>
      <c r="L118" s="43" t="str">
        <f t="shared" si="1"/>
        <v>March</v>
      </c>
    </row>
    <row r="119" spans="1:12">
      <c r="A119" s="39" t="s">
        <v>169</v>
      </c>
      <c r="B119" s="63">
        <v>46149</v>
      </c>
      <c r="C119" s="40" t="s">
        <v>72</v>
      </c>
      <c r="D119" s="40" t="s">
        <v>13</v>
      </c>
      <c r="E119" s="40">
        <v>1</v>
      </c>
      <c r="F119" s="40">
        <v>18500</v>
      </c>
      <c r="G119" s="40">
        <v>18500</v>
      </c>
      <c r="H119" s="40" t="s">
        <v>14</v>
      </c>
      <c r="I119" s="40" t="s">
        <v>15</v>
      </c>
      <c r="J119" s="40" t="s">
        <v>28</v>
      </c>
      <c r="K119" s="40" t="s">
        <v>48</v>
      </c>
      <c r="L119" s="40" t="str">
        <f t="shared" si="1"/>
        <v>May</v>
      </c>
    </row>
    <row r="120" spans="1:12">
      <c r="A120" s="50" t="s">
        <v>170</v>
      </c>
      <c r="B120" s="62">
        <v>46084</v>
      </c>
      <c r="C120" s="43" t="s">
        <v>32</v>
      </c>
      <c r="D120" s="43" t="s">
        <v>33</v>
      </c>
      <c r="E120" s="43">
        <v>4</v>
      </c>
      <c r="F120" s="43">
        <v>18000</v>
      </c>
      <c r="G120" s="43">
        <v>72000</v>
      </c>
      <c r="H120" s="43" t="s">
        <v>34</v>
      </c>
      <c r="I120" s="43" t="s">
        <v>25</v>
      </c>
      <c r="J120" s="43" t="s">
        <v>44</v>
      </c>
      <c r="K120" s="43" t="s">
        <v>17</v>
      </c>
      <c r="L120" s="43" t="str">
        <f t="shared" si="1"/>
        <v>March</v>
      </c>
    </row>
    <row r="121" spans="1:12">
      <c r="A121" s="39" t="s">
        <v>171</v>
      </c>
      <c r="B121" s="63">
        <v>46107</v>
      </c>
      <c r="C121" s="40" t="s">
        <v>56</v>
      </c>
      <c r="D121" s="40" t="s">
        <v>33</v>
      </c>
      <c r="E121" s="40">
        <v>3</v>
      </c>
      <c r="F121" s="40">
        <v>14500</v>
      </c>
      <c r="G121" s="40">
        <v>43500</v>
      </c>
      <c r="H121" s="40" t="s">
        <v>14</v>
      </c>
      <c r="I121" s="40" t="s">
        <v>25</v>
      </c>
      <c r="J121" s="40" t="s">
        <v>44</v>
      </c>
      <c r="K121" s="40" t="s">
        <v>48</v>
      </c>
      <c r="L121" s="40" t="str">
        <f t="shared" si="1"/>
        <v>March</v>
      </c>
    </row>
    <row r="122" spans="1:12">
      <c r="A122" s="50" t="s">
        <v>172</v>
      </c>
      <c r="B122" s="62">
        <v>46152</v>
      </c>
      <c r="C122" s="43" t="s">
        <v>36</v>
      </c>
      <c r="D122" s="43" t="s">
        <v>37</v>
      </c>
      <c r="E122" s="43">
        <v>2</v>
      </c>
      <c r="F122" s="43">
        <v>2500</v>
      </c>
      <c r="G122" s="43">
        <v>5000</v>
      </c>
      <c r="H122" s="43" t="s">
        <v>14</v>
      </c>
      <c r="I122" s="43" t="s">
        <v>25</v>
      </c>
      <c r="J122" s="43" t="s">
        <v>16</v>
      </c>
      <c r="K122" s="43" t="s">
        <v>17</v>
      </c>
      <c r="L122" s="43" t="str">
        <f t="shared" si="1"/>
        <v>May</v>
      </c>
    </row>
    <row r="123" spans="1:12">
      <c r="A123" s="39" t="s">
        <v>173</v>
      </c>
      <c r="B123" s="63">
        <v>46117</v>
      </c>
      <c r="C123" s="40" t="s">
        <v>36</v>
      </c>
      <c r="D123" s="40" t="s">
        <v>37</v>
      </c>
      <c r="E123" s="40">
        <v>1</v>
      </c>
      <c r="F123" s="40">
        <v>2500</v>
      </c>
      <c r="G123" s="40">
        <v>2500</v>
      </c>
      <c r="H123" s="40" t="s">
        <v>41</v>
      </c>
      <c r="I123" s="40" t="s">
        <v>25</v>
      </c>
      <c r="J123" s="40" t="s">
        <v>22</v>
      </c>
      <c r="K123" s="40" t="s">
        <v>17</v>
      </c>
      <c r="L123" s="40" t="str">
        <f t="shared" si="1"/>
        <v>April</v>
      </c>
    </row>
    <row r="124" spans="1:12">
      <c r="A124" s="50" t="s">
        <v>174</v>
      </c>
      <c r="B124" s="62">
        <v>46091</v>
      </c>
      <c r="C124" s="43" t="s">
        <v>19</v>
      </c>
      <c r="D124" s="43" t="s">
        <v>20</v>
      </c>
      <c r="E124" s="43">
        <v>2</v>
      </c>
      <c r="F124" s="43">
        <v>17500</v>
      </c>
      <c r="G124" s="43">
        <v>35000</v>
      </c>
      <c r="H124" s="43" t="s">
        <v>41</v>
      </c>
      <c r="I124" s="43" t="s">
        <v>25</v>
      </c>
      <c r="J124" s="43" t="s">
        <v>28</v>
      </c>
      <c r="K124" s="43" t="s">
        <v>17</v>
      </c>
      <c r="L124" s="43" t="str">
        <f t="shared" si="1"/>
        <v>March</v>
      </c>
    </row>
    <row r="125" spans="1:12">
      <c r="A125" s="39" t="s">
        <v>175</v>
      </c>
      <c r="B125" s="63">
        <v>46099</v>
      </c>
      <c r="C125" s="40" t="s">
        <v>54</v>
      </c>
      <c r="D125" s="40" t="s">
        <v>20</v>
      </c>
      <c r="E125" s="40">
        <v>1</v>
      </c>
      <c r="F125" s="40">
        <v>8000</v>
      </c>
      <c r="G125" s="40">
        <v>8000</v>
      </c>
      <c r="H125" s="40" t="s">
        <v>41</v>
      </c>
      <c r="I125" s="40" t="s">
        <v>15</v>
      </c>
      <c r="J125" s="40" t="s">
        <v>16</v>
      </c>
      <c r="K125" s="40" t="s">
        <v>29</v>
      </c>
      <c r="L125" s="40" t="str">
        <f t="shared" si="1"/>
        <v>March</v>
      </c>
    </row>
    <row r="126" spans="1:12">
      <c r="A126" s="50" t="s">
        <v>176</v>
      </c>
      <c r="B126" s="62">
        <v>46129</v>
      </c>
      <c r="C126" s="43" t="s">
        <v>19</v>
      </c>
      <c r="D126" s="43" t="s">
        <v>20</v>
      </c>
      <c r="E126" s="43">
        <v>2</v>
      </c>
      <c r="F126" s="43">
        <v>17500</v>
      </c>
      <c r="G126" s="43">
        <v>35000</v>
      </c>
      <c r="H126" s="43" t="s">
        <v>14</v>
      </c>
      <c r="I126" s="43" t="s">
        <v>15</v>
      </c>
      <c r="J126" s="43" t="s">
        <v>47</v>
      </c>
      <c r="K126" s="43" t="s">
        <v>17</v>
      </c>
      <c r="L126" s="43" t="str">
        <f t="shared" si="1"/>
        <v>April</v>
      </c>
    </row>
    <row r="127" spans="1:12">
      <c r="A127" s="39" t="s">
        <v>177</v>
      </c>
      <c r="B127" s="63">
        <v>46156</v>
      </c>
      <c r="C127" s="40" t="s">
        <v>19</v>
      </c>
      <c r="D127" s="40" t="s">
        <v>20</v>
      </c>
      <c r="E127" s="40">
        <v>1</v>
      </c>
      <c r="F127" s="40">
        <v>17500</v>
      </c>
      <c r="G127" s="40">
        <v>17500</v>
      </c>
      <c r="H127" s="40" t="s">
        <v>14</v>
      </c>
      <c r="I127" s="40" t="s">
        <v>25</v>
      </c>
      <c r="J127" s="40" t="s">
        <v>47</v>
      </c>
      <c r="K127" s="40" t="s">
        <v>23</v>
      </c>
      <c r="L127" s="40" t="str">
        <f t="shared" si="1"/>
        <v>May</v>
      </c>
    </row>
    <row r="128" spans="1:12">
      <c r="A128" s="50" t="s">
        <v>178</v>
      </c>
      <c r="B128" s="62">
        <v>46060</v>
      </c>
      <c r="C128" s="43" t="s">
        <v>56</v>
      </c>
      <c r="D128" s="43" t="s">
        <v>33</v>
      </c>
      <c r="E128" s="43">
        <v>2</v>
      </c>
      <c r="F128" s="43">
        <v>14500</v>
      </c>
      <c r="G128" s="43">
        <v>29000</v>
      </c>
      <c r="H128" s="43" t="s">
        <v>34</v>
      </c>
      <c r="I128" s="43" t="s">
        <v>15</v>
      </c>
      <c r="J128" s="43" t="s">
        <v>16</v>
      </c>
      <c r="K128" s="43" t="s">
        <v>29</v>
      </c>
      <c r="L128" s="43" t="str">
        <f t="shared" si="1"/>
        <v>February</v>
      </c>
    </row>
    <row r="129" spans="1:12">
      <c r="A129" s="39" t="s">
        <v>179</v>
      </c>
      <c r="B129" s="63">
        <v>46064</v>
      </c>
      <c r="C129" s="40" t="s">
        <v>65</v>
      </c>
      <c r="D129" s="40" t="s">
        <v>33</v>
      </c>
      <c r="E129" s="40">
        <v>3</v>
      </c>
      <c r="F129" s="40">
        <v>4500</v>
      </c>
      <c r="G129" s="40">
        <v>13500</v>
      </c>
      <c r="H129" s="40" t="s">
        <v>34</v>
      </c>
      <c r="I129" s="40" t="s">
        <v>15</v>
      </c>
      <c r="J129" s="40" t="s">
        <v>22</v>
      </c>
      <c r="K129" s="40" t="s">
        <v>48</v>
      </c>
      <c r="L129" s="40" t="str">
        <f t="shared" si="1"/>
        <v>February</v>
      </c>
    </row>
    <row r="130" spans="1:12">
      <c r="A130" s="50" t="s">
        <v>180</v>
      </c>
      <c r="B130" s="62">
        <v>46169</v>
      </c>
      <c r="C130" s="43" t="s">
        <v>43</v>
      </c>
      <c r="D130" s="43" t="s">
        <v>20</v>
      </c>
      <c r="E130" s="43">
        <v>1</v>
      </c>
      <c r="F130" s="43">
        <v>9500</v>
      </c>
      <c r="G130" s="43">
        <v>9500</v>
      </c>
      <c r="H130" s="43" t="s">
        <v>21</v>
      </c>
      <c r="I130" s="43" t="s">
        <v>15</v>
      </c>
      <c r="J130" s="43" t="s">
        <v>28</v>
      </c>
      <c r="K130" s="43" t="s">
        <v>17</v>
      </c>
      <c r="L130" s="43" t="str">
        <f t="shared" si="1"/>
        <v>May</v>
      </c>
    </row>
    <row r="131" spans="1:12">
      <c r="A131" s="39" t="s">
        <v>181</v>
      </c>
      <c r="B131" s="63">
        <v>46173</v>
      </c>
      <c r="C131" s="40" t="s">
        <v>54</v>
      </c>
      <c r="D131" s="40" t="s">
        <v>20</v>
      </c>
      <c r="E131" s="40">
        <v>1</v>
      </c>
      <c r="F131" s="40">
        <v>8000</v>
      </c>
      <c r="G131" s="40">
        <v>8000</v>
      </c>
      <c r="H131" s="40" t="s">
        <v>41</v>
      </c>
      <c r="I131" s="40" t="s">
        <v>25</v>
      </c>
      <c r="J131" s="40" t="s">
        <v>22</v>
      </c>
      <c r="K131" s="40" t="s">
        <v>29</v>
      </c>
      <c r="L131" s="40" t="str">
        <f t="shared" ref="L131:L151" si="2">TEXT($B131,"mmmm")</f>
        <v>May</v>
      </c>
    </row>
    <row r="132" spans="1:12">
      <c r="A132" s="50" t="s">
        <v>182</v>
      </c>
      <c r="B132" s="62">
        <v>46137</v>
      </c>
      <c r="C132" s="43" t="s">
        <v>12</v>
      </c>
      <c r="D132" s="43" t="s">
        <v>13</v>
      </c>
      <c r="E132" s="43">
        <v>2</v>
      </c>
      <c r="F132" s="43">
        <v>7500</v>
      </c>
      <c r="G132" s="43">
        <v>15000</v>
      </c>
      <c r="H132" s="43" t="s">
        <v>14</v>
      </c>
      <c r="I132" s="43" t="s">
        <v>25</v>
      </c>
      <c r="J132" s="43" t="s">
        <v>44</v>
      </c>
      <c r="K132" s="43" t="s">
        <v>23</v>
      </c>
      <c r="L132" s="43" t="str">
        <f t="shared" si="2"/>
        <v>April</v>
      </c>
    </row>
    <row r="133" spans="1:12">
      <c r="A133" s="39" t="s">
        <v>183</v>
      </c>
      <c r="B133" s="63">
        <v>46114</v>
      </c>
      <c r="C133" s="40" t="s">
        <v>32</v>
      </c>
      <c r="D133" s="40" t="s">
        <v>33</v>
      </c>
      <c r="E133" s="40">
        <v>1</v>
      </c>
      <c r="F133" s="40">
        <v>18000</v>
      </c>
      <c r="G133" s="40">
        <v>18000</v>
      </c>
      <c r="H133" s="40" t="s">
        <v>34</v>
      </c>
      <c r="I133" s="40" t="s">
        <v>15</v>
      </c>
      <c r="J133" s="40" t="s">
        <v>16</v>
      </c>
      <c r="K133" s="40" t="s">
        <v>48</v>
      </c>
      <c r="L133" s="40" t="str">
        <f t="shared" si="2"/>
        <v>April</v>
      </c>
    </row>
    <row r="134" spans="1:12">
      <c r="A134" s="50" t="s">
        <v>184</v>
      </c>
      <c r="B134" s="62">
        <v>46117</v>
      </c>
      <c r="C134" s="43" t="s">
        <v>39</v>
      </c>
      <c r="D134" s="43" t="s">
        <v>37</v>
      </c>
      <c r="E134" s="43">
        <v>2</v>
      </c>
      <c r="F134" s="43">
        <v>1800</v>
      </c>
      <c r="G134" s="43">
        <v>3600</v>
      </c>
      <c r="H134" s="43" t="s">
        <v>14</v>
      </c>
      <c r="I134" s="43" t="s">
        <v>25</v>
      </c>
      <c r="J134" s="43" t="s">
        <v>44</v>
      </c>
      <c r="K134" s="43" t="s">
        <v>17</v>
      </c>
      <c r="L134" s="43" t="str">
        <f t="shared" si="2"/>
        <v>April</v>
      </c>
    </row>
    <row r="135" spans="1:12">
      <c r="A135" s="39" t="s">
        <v>185</v>
      </c>
      <c r="B135" s="63">
        <v>46085</v>
      </c>
      <c r="C135" s="40" t="s">
        <v>36</v>
      </c>
      <c r="D135" s="40" t="s">
        <v>37</v>
      </c>
      <c r="E135" s="40">
        <v>1</v>
      </c>
      <c r="F135" s="40">
        <v>2500</v>
      </c>
      <c r="G135" s="40">
        <v>2500</v>
      </c>
      <c r="H135" s="40" t="s">
        <v>14</v>
      </c>
      <c r="I135" s="40" t="s">
        <v>15</v>
      </c>
      <c r="J135" s="40" t="s">
        <v>47</v>
      </c>
      <c r="K135" s="40" t="s">
        <v>17</v>
      </c>
      <c r="L135" s="40" t="str">
        <f t="shared" si="2"/>
        <v>March</v>
      </c>
    </row>
    <row r="136" spans="1:12">
      <c r="A136" s="50" t="s">
        <v>186</v>
      </c>
      <c r="B136" s="62">
        <v>46110</v>
      </c>
      <c r="C136" s="43" t="s">
        <v>39</v>
      </c>
      <c r="D136" s="43" t="s">
        <v>37</v>
      </c>
      <c r="E136" s="43">
        <v>1</v>
      </c>
      <c r="F136" s="43">
        <v>1800</v>
      </c>
      <c r="G136" s="43">
        <v>1800</v>
      </c>
      <c r="H136" s="43" t="s">
        <v>41</v>
      </c>
      <c r="I136" s="43" t="s">
        <v>15</v>
      </c>
      <c r="J136" s="43" t="s">
        <v>44</v>
      </c>
      <c r="K136" s="43" t="s">
        <v>48</v>
      </c>
      <c r="L136" s="43" t="str">
        <f t="shared" si="2"/>
        <v>March</v>
      </c>
    </row>
    <row r="137" spans="1:12">
      <c r="A137" s="39" t="s">
        <v>187</v>
      </c>
      <c r="B137" s="63">
        <v>46118</v>
      </c>
      <c r="C137" s="40" t="s">
        <v>39</v>
      </c>
      <c r="D137" s="40" t="s">
        <v>37</v>
      </c>
      <c r="E137" s="40">
        <v>2</v>
      </c>
      <c r="F137" s="40">
        <v>1800</v>
      </c>
      <c r="G137" s="40">
        <v>3600</v>
      </c>
      <c r="H137" s="40" t="s">
        <v>34</v>
      </c>
      <c r="I137" s="40" t="s">
        <v>25</v>
      </c>
      <c r="J137" s="40" t="s">
        <v>28</v>
      </c>
      <c r="K137" s="40" t="s">
        <v>48</v>
      </c>
      <c r="L137" s="40" t="str">
        <f t="shared" si="2"/>
        <v>April</v>
      </c>
    </row>
    <row r="138" spans="1:12">
      <c r="A138" s="50" t="s">
        <v>188</v>
      </c>
      <c r="B138" s="62">
        <v>46056</v>
      </c>
      <c r="C138" s="43" t="s">
        <v>36</v>
      </c>
      <c r="D138" s="43" t="s">
        <v>37</v>
      </c>
      <c r="E138" s="43">
        <v>1</v>
      </c>
      <c r="F138" s="43">
        <v>2500</v>
      </c>
      <c r="G138" s="43">
        <v>2500</v>
      </c>
      <c r="H138" s="43" t="s">
        <v>34</v>
      </c>
      <c r="I138" s="43" t="s">
        <v>15</v>
      </c>
      <c r="J138" s="43" t="s">
        <v>44</v>
      </c>
      <c r="K138" s="43" t="s">
        <v>48</v>
      </c>
      <c r="L138" s="43" t="str">
        <f t="shared" si="2"/>
        <v>February</v>
      </c>
    </row>
    <row r="139" spans="1:12">
      <c r="A139" s="39" t="s">
        <v>189</v>
      </c>
      <c r="B139" s="63">
        <v>46165</v>
      </c>
      <c r="C139" s="40" t="s">
        <v>54</v>
      </c>
      <c r="D139" s="40" t="s">
        <v>20</v>
      </c>
      <c r="E139" s="40">
        <v>4</v>
      </c>
      <c r="F139" s="40">
        <v>8000</v>
      </c>
      <c r="G139" s="40">
        <v>32000</v>
      </c>
      <c r="H139" s="40" t="s">
        <v>41</v>
      </c>
      <c r="I139" s="40" t="s">
        <v>25</v>
      </c>
      <c r="J139" s="40" t="s">
        <v>44</v>
      </c>
      <c r="K139" s="40" t="s">
        <v>17</v>
      </c>
      <c r="L139" s="40" t="str">
        <f t="shared" si="2"/>
        <v>May</v>
      </c>
    </row>
    <row r="140" spans="1:12">
      <c r="A140" s="50" t="s">
        <v>190</v>
      </c>
      <c r="B140" s="62">
        <v>46071</v>
      </c>
      <c r="C140" s="43" t="s">
        <v>39</v>
      </c>
      <c r="D140" s="43" t="s">
        <v>37</v>
      </c>
      <c r="E140" s="43">
        <v>1</v>
      </c>
      <c r="F140" s="43">
        <v>1800</v>
      </c>
      <c r="G140" s="43">
        <v>1800</v>
      </c>
      <c r="H140" s="43" t="s">
        <v>14</v>
      </c>
      <c r="I140" s="43" t="s">
        <v>25</v>
      </c>
      <c r="J140" s="43" t="s">
        <v>22</v>
      </c>
      <c r="K140" s="43" t="s">
        <v>17</v>
      </c>
      <c r="L140" s="43" t="str">
        <f t="shared" si="2"/>
        <v>February</v>
      </c>
    </row>
    <row r="141" spans="1:12">
      <c r="A141" s="39" t="s">
        <v>191</v>
      </c>
      <c r="B141" s="63">
        <v>46139</v>
      </c>
      <c r="C141" s="40" t="s">
        <v>27</v>
      </c>
      <c r="D141" s="40" t="s">
        <v>20</v>
      </c>
      <c r="E141" s="40">
        <v>4</v>
      </c>
      <c r="F141" s="40">
        <v>28000</v>
      </c>
      <c r="G141" s="40">
        <v>112000</v>
      </c>
      <c r="H141" s="40" t="s">
        <v>34</v>
      </c>
      <c r="I141" s="40" t="s">
        <v>25</v>
      </c>
      <c r="J141" s="40" t="s">
        <v>22</v>
      </c>
      <c r="K141" s="40" t="s">
        <v>23</v>
      </c>
      <c r="L141" s="40" t="str">
        <f t="shared" si="2"/>
        <v>April</v>
      </c>
    </row>
    <row r="142" spans="1:12">
      <c r="A142" s="50" t="s">
        <v>192</v>
      </c>
      <c r="B142" s="62">
        <v>46084</v>
      </c>
      <c r="C142" s="43" t="s">
        <v>27</v>
      </c>
      <c r="D142" s="43" t="s">
        <v>20</v>
      </c>
      <c r="E142" s="43">
        <v>3</v>
      </c>
      <c r="F142" s="43">
        <v>28000</v>
      </c>
      <c r="G142" s="43">
        <v>84000</v>
      </c>
      <c r="H142" s="43" t="s">
        <v>14</v>
      </c>
      <c r="I142" s="43" t="s">
        <v>25</v>
      </c>
      <c r="J142" s="43" t="s">
        <v>44</v>
      </c>
      <c r="K142" s="43" t="s">
        <v>29</v>
      </c>
      <c r="L142" s="43" t="str">
        <f t="shared" si="2"/>
        <v>March</v>
      </c>
    </row>
    <row r="143" spans="1:12">
      <c r="A143" s="39" t="s">
        <v>193</v>
      </c>
      <c r="B143" s="63">
        <v>46093</v>
      </c>
      <c r="C143" s="40" t="s">
        <v>61</v>
      </c>
      <c r="D143" s="40" t="s">
        <v>37</v>
      </c>
      <c r="E143" s="40">
        <v>2</v>
      </c>
      <c r="F143" s="40">
        <v>5500</v>
      </c>
      <c r="G143" s="40">
        <v>11000</v>
      </c>
      <c r="H143" s="40" t="s">
        <v>14</v>
      </c>
      <c r="I143" s="40" t="s">
        <v>15</v>
      </c>
      <c r="J143" s="40" t="s">
        <v>28</v>
      </c>
      <c r="K143" s="40" t="s">
        <v>48</v>
      </c>
      <c r="L143" s="40" t="str">
        <f t="shared" si="2"/>
        <v>March</v>
      </c>
    </row>
    <row r="144" spans="1:12">
      <c r="A144" s="50" t="s">
        <v>194</v>
      </c>
      <c r="B144" s="62">
        <v>46129</v>
      </c>
      <c r="C144" s="43" t="s">
        <v>43</v>
      </c>
      <c r="D144" s="43" t="s">
        <v>20</v>
      </c>
      <c r="E144" s="43">
        <v>4</v>
      </c>
      <c r="F144" s="43">
        <v>9500</v>
      </c>
      <c r="G144" s="43">
        <v>38000</v>
      </c>
      <c r="H144" s="43" t="s">
        <v>14</v>
      </c>
      <c r="I144" s="43" t="s">
        <v>15</v>
      </c>
      <c r="J144" s="43" t="s">
        <v>47</v>
      </c>
      <c r="K144" s="43" t="s">
        <v>48</v>
      </c>
      <c r="L144" s="43" t="str">
        <f t="shared" si="2"/>
        <v>April</v>
      </c>
    </row>
    <row r="145" spans="1:12">
      <c r="A145" s="39" t="s">
        <v>195</v>
      </c>
      <c r="B145" s="63">
        <v>46068</v>
      </c>
      <c r="C145" s="40" t="s">
        <v>61</v>
      </c>
      <c r="D145" s="40" t="s">
        <v>37</v>
      </c>
      <c r="E145" s="40">
        <v>4</v>
      </c>
      <c r="F145" s="40">
        <v>5500</v>
      </c>
      <c r="G145" s="40">
        <v>22000</v>
      </c>
      <c r="H145" s="40" t="s">
        <v>14</v>
      </c>
      <c r="I145" s="40" t="s">
        <v>15</v>
      </c>
      <c r="J145" s="40" t="s">
        <v>22</v>
      </c>
      <c r="K145" s="40" t="s">
        <v>29</v>
      </c>
      <c r="L145" s="40" t="str">
        <f t="shared" si="2"/>
        <v>February</v>
      </c>
    </row>
    <row r="146" spans="1:12">
      <c r="A146" s="50" t="s">
        <v>196</v>
      </c>
      <c r="B146" s="62">
        <v>46086</v>
      </c>
      <c r="C146" s="43" t="s">
        <v>114</v>
      </c>
      <c r="D146" s="43" t="s">
        <v>13</v>
      </c>
      <c r="E146" s="43">
        <v>4</v>
      </c>
      <c r="F146" s="43">
        <v>22000</v>
      </c>
      <c r="G146" s="43">
        <v>88000</v>
      </c>
      <c r="H146" s="43" t="s">
        <v>14</v>
      </c>
      <c r="I146" s="43" t="s">
        <v>25</v>
      </c>
      <c r="J146" s="43" t="s">
        <v>16</v>
      </c>
      <c r="K146" s="43" t="s">
        <v>29</v>
      </c>
      <c r="L146" s="43" t="str">
        <f t="shared" si="2"/>
        <v>March</v>
      </c>
    </row>
    <row r="147" spans="1:12">
      <c r="A147" s="39" t="s">
        <v>197</v>
      </c>
      <c r="B147" s="63">
        <v>46135</v>
      </c>
      <c r="C147" s="40" t="s">
        <v>114</v>
      </c>
      <c r="D147" s="40" t="s">
        <v>13</v>
      </c>
      <c r="E147" s="40">
        <v>4</v>
      </c>
      <c r="F147" s="40">
        <v>22000</v>
      </c>
      <c r="G147" s="40">
        <v>88000</v>
      </c>
      <c r="H147" s="40" t="s">
        <v>14</v>
      </c>
      <c r="I147" s="40" t="s">
        <v>25</v>
      </c>
      <c r="J147" s="40" t="s">
        <v>16</v>
      </c>
      <c r="K147" s="40" t="s">
        <v>23</v>
      </c>
      <c r="L147" s="40" t="str">
        <f t="shared" si="2"/>
        <v>April</v>
      </c>
    </row>
    <row r="148" spans="1:12">
      <c r="A148" s="50" t="s">
        <v>198</v>
      </c>
      <c r="B148" s="62">
        <v>46160</v>
      </c>
      <c r="C148" s="43" t="s">
        <v>12</v>
      </c>
      <c r="D148" s="43" t="s">
        <v>13</v>
      </c>
      <c r="E148" s="43">
        <v>2</v>
      </c>
      <c r="F148" s="43">
        <v>7500</v>
      </c>
      <c r="G148" s="43">
        <v>15000</v>
      </c>
      <c r="H148" s="43" t="s">
        <v>34</v>
      </c>
      <c r="I148" s="43" t="s">
        <v>25</v>
      </c>
      <c r="J148" s="43" t="s">
        <v>22</v>
      </c>
      <c r="K148" s="43" t="s">
        <v>17</v>
      </c>
      <c r="L148" s="43" t="str">
        <f t="shared" si="2"/>
        <v>May</v>
      </c>
    </row>
    <row r="149" spans="1:12">
      <c r="A149" s="39" t="s">
        <v>199</v>
      </c>
      <c r="B149" s="63">
        <v>46152</v>
      </c>
      <c r="C149" s="40" t="s">
        <v>32</v>
      </c>
      <c r="D149" s="40" t="s">
        <v>33</v>
      </c>
      <c r="E149" s="40">
        <v>4</v>
      </c>
      <c r="F149" s="40">
        <v>18000</v>
      </c>
      <c r="G149" s="40">
        <v>72000</v>
      </c>
      <c r="H149" s="40" t="s">
        <v>21</v>
      </c>
      <c r="I149" s="40" t="s">
        <v>25</v>
      </c>
      <c r="J149" s="40" t="s">
        <v>28</v>
      </c>
      <c r="K149" s="40" t="s">
        <v>17</v>
      </c>
      <c r="L149" s="40" t="str">
        <f t="shared" si="2"/>
        <v>May</v>
      </c>
    </row>
    <row r="150" spans="1:12">
      <c r="A150" s="50" t="s">
        <v>200</v>
      </c>
      <c r="B150" s="62">
        <v>46114</v>
      </c>
      <c r="C150" s="43" t="s">
        <v>43</v>
      </c>
      <c r="D150" s="43" t="s">
        <v>20</v>
      </c>
      <c r="E150" s="43">
        <v>4</v>
      </c>
      <c r="F150" s="43">
        <v>9500</v>
      </c>
      <c r="G150" s="43">
        <v>38000</v>
      </c>
      <c r="H150" s="43" t="s">
        <v>34</v>
      </c>
      <c r="I150" s="43" t="s">
        <v>25</v>
      </c>
      <c r="J150" s="43" t="s">
        <v>44</v>
      </c>
      <c r="K150" s="43" t="s">
        <v>23</v>
      </c>
      <c r="L150" s="43" t="str">
        <f t="shared" si="2"/>
        <v>April</v>
      </c>
    </row>
    <row r="151" spans="1:12">
      <c r="A151" s="39" t="s">
        <v>201</v>
      </c>
      <c r="B151" s="63">
        <v>46080</v>
      </c>
      <c r="C151" s="40" t="s">
        <v>61</v>
      </c>
      <c r="D151" s="40" t="s">
        <v>37</v>
      </c>
      <c r="E151" s="40">
        <v>1</v>
      </c>
      <c r="F151" s="40">
        <v>5500</v>
      </c>
      <c r="G151" s="40">
        <v>5500</v>
      </c>
      <c r="H151" s="40" t="s">
        <v>41</v>
      </c>
      <c r="I151" s="40" t="s">
        <v>25</v>
      </c>
      <c r="J151" s="40" t="s">
        <v>47</v>
      </c>
      <c r="K151" s="40" t="s">
        <v>48</v>
      </c>
      <c r="L151" s="40" t="str">
        <f t="shared" si="2"/>
        <v>February</v>
      </c>
    </row>
  </sheetData>
  <pageMargins left="0.7" right="0.7" top="0.75" bottom="0.75" header="0.3" footer="0.3"/>
  <pageSetup paperSize="9" scale="7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5"/>
  <sheetViews>
    <sheetView topLeftCell="A26" workbookViewId="0">
      <selection activeCell="E39" sqref="E39"/>
    </sheetView>
  </sheetViews>
  <sheetFormatPr defaultRowHeight="15"/>
  <cols>
    <col min="1" max="1" width="33.5703125" bestFit="1" customWidth="1"/>
    <col min="2" max="2" width="16.28515625" bestFit="1" customWidth="1"/>
    <col min="3" max="3" width="11.28515625" customWidth="1"/>
    <col min="4" max="4" width="38.5703125" bestFit="1" customWidth="1"/>
    <col min="5" max="5" width="12.7109375" style="4" bestFit="1" customWidth="1"/>
    <col min="6" max="9" width="11" customWidth="1"/>
    <col min="10" max="99" width="12" customWidth="1"/>
    <col min="100" max="999" width="13" customWidth="1"/>
    <col min="1000" max="9999" width="14" customWidth="1"/>
    <col min="10000" max="16384" width="15" customWidth="1"/>
  </cols>
  <sheetData>
    <row r="1" spans="1:5">
      <c r="A1" s="54"/>
      <c r="B1" s="55"/>
      <c r="C1" s="56" t="s">
        <v>206</v>
      </c>
      <c r="D1" s="57"/>
      <c r="E1" s="55"/>
    </row>
    <row r="2" spans="1:5">
      <c r="A2" s="39"/>
      <c r="B2" s="40"/>
      <c r="C2" s="40"/>
      <c r="D2" s="40"/>
      <c r="E2" s="41"/>
    </row>
    <row r="3" spans="1:5">
      <c r="A3" s="42" t="s">
        <v>204</v>
      </c>
      <c r="B3" s="43"/>
      <c r="C3" s="43"/>
      <c r="D3" s="44" t="s">
        <v>224</v>
      </c>
      <c r="E3" s="45"/>
    </row>
    <row r="4" spans="1:5">
      <c r="A4" s="46" t="s">
        <v>205</v>
      </c>
      <c r="B4" s="47">
        <f>SUM('Cleaned Data'!G:G)</f>
        <v>4546400</v>
      </c>
      <c r="C4" s="40"/>
      <c r="D4" s="41" t="s">
        <v>225</v>
      </c>
      <c r="E4" s="41">
        <f>SUMIFS('Cleaned Data'!G:G,'Cleaned Data'!I:I,"New")</f>
        <v>1865100</v>
      </c>
    </row>
    <row r="5" spans="1:5">
      <c r="A5" s="48" t="s">
        <v>207</v>
      </c>
      <c r="B5" s="37">
        <f>SUM('Cleaned Data'!E:E)</f>
        <v>374</v>
      </c>
      <c r="C5" s="43"/>
      <c r="D5" s="45" t="s">
        <v>226</v>
      </c>
      <c r="E5" s="45">
        <f>SUMIFS('Cleaned Data'!G:G,'Cleaned Data'!I:I,"Returning")</f>
        <v>2681300</v>
      </c>
    </row>
    <row r="6" spans="1:5" ht="30">
      <c r="A6" s="46" t="s">
        <v>208</v>
      </c>
      <c r="B6" s="47">
        <f>AVERAGE('Cleaned Data'!G:G)</f>
        <v>30309.333333333332</v>
      </c>
      <c r="C6" s="40"/>
      <c r="D6" s="49" t="s">
        <v>227</v>
      </c>
      <c r="E6" s="41" t="str">
        <f>INDEX(Sheet3!F2:F3,MATCH(MAX(Sheet3!G2:G3),Sheet3!G2:G3,0))</f>
        <v>Returning</v>
      </c>
    </row>
    <row r="7" spans="1:5">
      <c r="A7" s="48" t="s">
        <v>209</v>
      </c>
      <c r="B7" s="37">
        <f>MAX('Cleaned Data'!G:G)</f>
        <v>112000</v>
      </c>
      <c r="C7" s="43"/>
      <c r="D7" s="45"/>
      <c r="E7" s="45"/>
    </row>
    <row r="8" spans="1:5">
      <c r="A8" s="46" t="s">
        <v>210</v>
      </c>
      <c r="B8" s="47">
        <f>MIN('Cleaned Data'!G:G)</f>
        <v>1800</v>
      </c>
      <c r="C8" s="40"/>
      <c r="D8" s="40"/>
      <c r="E8" s="41"/>
    </row>
    <row r="9" spans="1:5">
      <c r="A9" s="48" t="s">
        <v>211</v>
      </c>
      <c r="B9" s="37">
        <f>COUNTA('Cleaned Data'!A2:A151)</f>
        <v>150</v>
      </c>
      <c r="C9" s="43"/>
      <c r="D9" s="43"/>
      <c r="E9" s="45"/>
    </row>
    <row r="10" spans="1:5">
      <c r="A10" s="39"/>
      <c r="B10" s="40"/>
      <c r="C10" s="40"/>
      <c r="D10" s="40"/>
      <c r="E10" s="41"/>
    </row>
    <row r="11" spans="1:5">
      <c r="A11" s="50"/>
      <c r="B11" s="43"/>
      <c r="C11" s="43"/>
      <c r="D11" s="43"/>
      <c r="E11" s="45"/>
    </row>
    <row r="12" spans="1:5">
      <c r="A12" s="39"/>
      <c r="B12" s="40"/>
      <c r="C12" s="40"/>
      <c r="D12" s="40"/>
      <c r="E12" s="41"/>
    </row>
    <row r="13" spans="1:5">
      <c r="A13" s="42" t="s">
        <v>212</v>
      </c>
      <c r="B13" s="43"/>
      <c r="C13" s="43"/>
      <c r="D13" s="44" t="s">
        <v>228</v>
      </c>
      <c r="E13" s="45"/>
    </row>
    <row r="14" spans="1:5">
      <c r="A14" s="46" t="s">
        <v>213</v>
      </c>
      <c r="B14" s="41" t="str">
        <f>INDEX('Cleaned Data'!C:C,MATCH(MAX('Cleaned Data'!G:G),'Cleaned Data'!G:G,0))</f>
        <v>Sneakers</v>
      </c>
      <c r="C14" s="40"/>
      <c r="D14" s="41" t="s">
        <v>229</v>
      </c>
      <c r="E14" s="41" t="str">
        <f>INDEX(D17:D21,MATCH(MAX(E17:E21),E17:E21,0))</f>
        <v>Abuja</v>
      </c>
    </row>
    <row r="15" spans="1:5">
      <c r="A15" s="48" t="s">
        <v>214</v>
      </c>
      <c r="B15" s="45" t="str">
        <f>INDEX('Cleaned Data'!C:C,MATCH(MIN('Cleaned Data'!G:G),'Cleaned Data'!G:G,0))</f>
        <v>Gel Pen Pack</v>
      </c>
      <c r="C15" s="43"/>
      <c r="D15" s="45" t="s">
        <v>230</v>
      </c>
      <c r="E15" s="45" t="str">
        <f>INDEX(D18:D22,MATCH(MIN(E18:E22),E18:E22,0))</f>
        <v>Port Harcourt</v>
      </c>
    </row>
    <row r="16" spans="1:5">
      <c r="A16" s="46" t="s">
        <v>215</v>
      </c>
      <c r="B16" s="41" t="str">
        <f>INDEX($A$19:$A$33,MATCH(MAX(Sheet1!B2:B16),Sheet1!B2:B16,0))</f>
        <v>Sneakers</v>
      </c>
      <c r="C16" s="40"/>
      <c r="D16" s="41" t="s">
        <v>231</v>
      </c>
      <c r="E16" s="41"/>
    </row>
    <row r="17" spans="1:5">
      <c r="A17" s="48" t="s">
        <v>216</v>
      </c>
      <c r="B17" s="45" t="str">
        <f>INDEX($A$19:$A$33,MATCH(MIN(Sheet1!B2:B16),Sheet1!B2:B16,0))</f>
        <v>Wireless Earbuds</v>
      </c>
      <c r="C17" s="43"/>
      <c r="D17" s="38" t="s">
        <v>16</v>
      </c>
      <c r="E17" s="45">
        <f>SUMIFS('Cleaned Data'!$G:$G,'Cleaned Data'!$J:$J,Sheet3!$H2)</f>
        <v>867600</v>
      </c>
    </row>
    <row r="18" spans="1:5">
      <c r="A18" s="46" t="s">
        <v>221</v>
      </c>
      <c r="B18" s="40"/>
      <c r="C18" s="40"/>
      <c r="D18" s="51" t="s">
        <v>22</v>
      </c>
      <c r="E18" s="41">
        <f>SUMIFS('Cleaned Data'!$G:$G,'Cleaned Data'!$J:$J,Sheet3!$H3)</f>
        <v>980600</v>
      </c>
    </row>
    <row r="19" spans="1:5">
      <c r="A19" s="36" t="s">
        <v>12</v>
      </c>
      <c r="B19" s="37">
        <f>SUMIFS('Cleaned Data'!G:G,'Cleaned Data'!C:C,Analysis!$A19)</f>
        <v>180000</v>
      </c>
      <c r="C19" s="43"/>
      <c r="D19" s="38" t="s">
        <v>28</v>
      </c>
      <c r="E19" s="45">
        <f>SUMIFS('Cleaned Data'!$G:$G,'Cleaned Data'!$J:$J,Sheet3!$H4)</f>
        <v>1209000</v>
      </c>
    </row>
    <row r="20" spans="1:5">
      <c r="A20" s="36" t="s">
        <v>19</v>
      </c>
      <c r="B20" s="47">
        <f>SUMIFS('Cleaned Data'!G:G,'Cleaned Data'!C:C,Analysis!$A20)</f>
        <v>490000</v>
      </c>
      <c r="C20" s="40"/>
      <c r="D20" s="51" t="s">
        <v>44</v>
      </c>
      <c r="E20" s="41">
        <f>SUMIFS('Cleaned Data'!$G:$G,'Cleaned Data'!$J:$J,Sheet3!$H5)</f>
        <v>753300</v>
      </c>
    </row>
    <row r="21" spans="1:5">
      <c r="A21" s="36" t="s">
        <v>27</v>
      </c>
      <c r="B21" s="37">
        <f>SUMIFS('Cleaned Data'!G:G,'Cleaned Data'!C:C,Analysis!$A21)</f>
        <v>1232000</v>
      </c>
      <c r="C21" s="43"/>
      <c r="D21" s="38" t="s">
        <v>47</v>
      </c>
      <c r="E21" s="45">
        <f>SUMIFS('Cleaned Data'!$G:$G,'Cleaned Data'!$J:$J,Sheet3!$H6)</f>
        <v>735900</v>
      </c>
    </row>
    <row r="22" spans="1:5">
      <c r="A22" s="36" t="s">
        <v>32</v>
      </c>
      <c r="B22" s="47">
        <f>SUMIFS('Cleaned Data'!G:G,'Cleaned Data'!C:C,Analysis!$A22)</f>
        <v>450000</v>
      </c>
      <c r="C22" s="40"/>
      <c r="D22" s="40"/>
      <c r="E22" s="41"/>
    </row>
    <row r="23" spans="1:5">
      <c r="A23" s="36" t="s">
        <v>36</v>
      </c>
      <c r="B23" s="37">
        <f>SUMIFS('Cleaned Data'!G:G,'Cleaned Data'!C:C,Analysis!$A23)</f>
        <v>52500</v>
      </c>
      <c r="C23" s="43"/>
      <c r="D23" s="43"/>
      <c r="E23" s="45"/>
    </row>
    <row r="24" spans="1:5">
      <c r="A24" s="36" t="s">
        <v>39</v>
      </c>
      <c r="B24" s="47">
        <f>SUMIFS('Cleaned Data'!G:G,'Cleaned Data'!C:C,Analysis!$A24)</f>
        <v>68400</v>
      </c>
      <c r="C24" s="40"/>
      <c r="D24" s="40"/>
      <c r="E24" s="41"/>
    </row>
    <row r="25" spans="1:5">
      <c r="A25" s="36" t="s">
        <v>43</v>
      </c>
      <c r="B25" s="37">
        <f>SUMIFS('Cleaned Data'!G:G,'Cleaned Data'!C:C,Analysis!$A25)</f>
        <v>237500</v>
      </c>
      <c r="C25" s="43"/>
      <c r="D25" s="43"/>
      <c r="E25" s="45"/>
    </row>
    <row r="26" spans="1:5">
      <c r="A26" s="36" t="s">
        <v>54</v>
      </c>
      <c r="B26" s="47">
        <f>SUMIFS('Cleaned Data'!G:G,'Cleaned Data'!C:C,Analysis!$A26)</f>
        <v>224000</v>
      </c>
      <c r="C26" s="40"/>
      <c r="D26" s="53" t="s">
        <v>232</v>
      </c>
      <c r="E26" s="41"/>
    </row>
    <row r="27" spans="1:5">
      <c r="A27" s="36" t="s">
        <v>56</v>
      </c>
      <c r="B27" s="37">
        <f>SUMIFS('Cleaned Data'!G:G,'Cleaned Data'!C:C,Analysis!$A27)</f>
        <v>348000</v>
      </c>
      <c r="C27" s="43"/>
      <c r="D27" s="45" t="s">
        <v>233</v>
      </c>
      <c r="E27" s="45" t="str">
        <f>INDEX(D29:D32,MATCH(MAX(E29:E32),E29:E32,0))</f>
        <v>Card</v>
      </c>
    </row>
    <row r="28" spans="1:5">
      <c r="A28" s="36" t="s">
        <v>61</v>
      </c>
      <c r="B28" s="47">
        <f>SUMIFS('Cleaned Data'!G:G,'Cleaned Data'!C:C,Analysis!$A28)</f>
        <v>143000</v>
      </c>
      <c r="C28" s="40"/>
      <c r="D28" s="41" t="s">
        <v>234</v>
      </c>
      <c r="E28" s="41"/>
    </row>
    <row r="29" spans="1:5">
      <c r="A29" s="36" t="s">
        <v>65</v>
      </c>
      <c r="B29" s="37">
        <f>SUMIFS('Cleaned Data'!G:G,'Cleaned Data'!C:C,Analysis!$A29)</f>
        <v>85500</v>
      </c>
      <c r="C29" s="43"/>
      <c r="D29" s="38" t="s">
        <v>14</v>
      </c>
      <c r="E29" s="37">
        <f>COUNTIF('Cleaned Data'!$H:$H,Analysis!$D29)</f>
        <v>46</v>
      </c>
    </row>
    <row r="30" spans="1:5">
      <c r="A30" s="36" t="s">
        <v>67</v>
      </c>
      <c r="B30" s="47">
        <f>SUMIFS('Cleaned Data'!G:G,'Cleaned Data'!C:C,Analysis!$A30)</f>
        <v>149500</v>
      </c>
      <c r="C30" s="40"/>
      <c r="D30" s="51" t="s">
        <v>21</v>
      </c>
      <c r="E30" s="47">
        <f>COUNTIF('Cleaned Data'!$H:$H,Analysis!$D30)</f>
        <v>30</v>
      </c>
    </row>
    <row r="31" spans="1:5">
      <c r="A31" s="36" t="s">
        <v>70</v>
      </c>
      <c r="B31" s="37">
        <f>SUMIFS('Cleaned Data'!G:G,'Cleaned Data'!C:C,Analysis!$A31)</f>
        <v>180000</v>
      </c>
      <c r="C31" s="43"/>
      <c r="D31" s="38" t="s">
        <v>34</v>
      </c>
      <c r="E31" s="37">
        <f>COUNTIF('Cleaned Data'!$H:$H,Analysis!$D31)</f>
        <v>37</v>
      </c>
    </row>
    <row r="32" spans="1:5">
      <c r="A32" s="36" t="s">
        <v>72</v>
      </c>
      <c r="B32" s="47">
        <f>SUMIFS('Cleaned Data'!G:G,'Cleaned Data'!C:C,Analysis!$A32)</f>
        <v>222000</v>
      </c>
      <c r="C32" s="40"/>
      <c r="D32" s="51" t="s">
        <v>41</v>
      </c>
      <c r="E32" s="47">
        <f>COUNTIF('Cleaned Data'!$H:$H,Analysis!$D32)</f>
        <v>37</v>
      </c>
    </row>
    <row r="33" spans="1:5">
      <c r="A33" s="36" t="s">
        <v>114</v>
      </c>
      <c r="B33" s="37">
        <f>SUMIFS('Cleaned Data'!G:G,'Cleaned Data'!C:C,Analysis!$A33)</f>
        <v>484000</v>
      </c>
      <c r="C33" s="43"/>
      <c r="D33" s="43"/>
      <c r="E33" s="45"/>
    </row>
    <row r="34" spans="1:5">
      <c r="A34" s="39"/>
      <c r="B34" s="40"/>
      <c r="C34" s="40"/>
      <c r="D34" s="40"/>
      <c r="E34" s="41"/>
    </row>
    <row r="35" spans="1:5">
      <c r="A35" s="50"/>
      <c r="B35" s="43"/>
      <c r="C35" s="43"/>
      <c r="D35" s="43"/>
      <c r="E35" s="45"/>
    </row>
    <row r="36" spans="1:5">
      <c r="A36" s="39"/>
      <c r="B36" s="40"/>
      <c r="C36" s="40"/>
      <c r="D36" s="40"/>
      <c r="E36" s="41"/>
    </row>
    <row r="37" spans="1:5">
      <c r="A37" s="42" t="s">
        <v>217</v>
      </c>
      <c r="B37" s="43"/>
      <c r="C37" s="43"/>
      <c r="D37" s="44" t="s">
        <v>235</v>
      </c>
      <c r="E37" s="45"/>
    </row>
    <row r="38" spans="1:5">
      <c r="A38" s="46" t="s">
        <v>218</v>
      </c>
      <c r="B38" s="41" t="str">
        <f>INDEX('Cleaned Data'!D:D,MATCH(MAX('Cleaned Data'!G:G),'Cleaned Data'!G:G,0))</f>
        <v>Fashion</v>
      </c>
      <c r="C38" s="40"/>
      <c r="D38" s="41" t="s">
        <v>238</v>
      </c>
      <c r="E38" s="41">
        <f>SUM(Sheet3!N2:N5)</f>
        <v>150</v>
      </c>
    </row>
    <row r="39" spans="1:5">
      <c r="A39" s="48" t="s">
        <v>219</v>
      </c>
      <c r="B39" s="45" t="str">
        <f>INDEX('Cleaned Data'!D:D,MATCH(MIN('Cleaned Data'!G:G),'Cleaned Data'!G:G,0))</f>
        <v>Stationery</v>
      </c>
      <c r="C39" s="43"/>
      <c r="D39" s="45" t="s">
        <v>236</v>
      </c>
      <c r="E39" s="45" t="str">
        <f>INDEX(Sheet3!$M$2:$M$5,MATCH(MAX(Sheet3!$N$2:$N$5),Sheet3!$N$2:$N$5,0))</f>
        <v>Marketplace</v>
      </c>
    </row>
    <row r="40" spans="1:5">
      <c r="A40" s="46" t="s">
        <v>220</v>
      </c>
      <c r="B40" s="40"/>
      <c r="C40" s="40"/>
      <c r="D40" s="41" t="s">
        <v>237</v>
      </c>
      <c r="E40" s="41" t="str">
        <f>INDEX(Sheet3!$M$2:$M$5,MATCH(MIN(Sheet3!$N$2:$N$5),Sheet3!$N$2:$N$5,0))</f>
        <v>Website</v>
      </c>
    </row>
    <row r="41" spans="1:5">
      <c r="A41" s="36" t="s">
        <v>13</v>
      </c>
      <c r="B41" s="37">
        <f>SUMIFS('Cleaned Data'!G:G,'Cleaned Data'!D:D,$A41)</f>
        <v>886000</v>
      </c>
      <c r="C41" s="43"/>
      <c r="D41" s="45" t="s">
        <v>239</v>
      </c>
      <c r="E41" s="45"/>
    </row>
    <row r="42" spans="1:5">
      <c r="A42" s="52" t="s">
        <v>20</v>
      </c>
      <c r="B42" s="47">
        <f>SUMIFS('Cleaned Data'!G:G,'Cleaned Data'!D:D,$A42)</f>
        <v>2183500</v>
      </c>
      <c r="C42" s="40"/>
      <c r="D42" s="51" t="s">
        <v>17</v>
      </c>
      <c r="E42" s="47">
        <f>SUMIFS('Cleaned Data'!$G:$G,'Cleaned Data'!K:K,$D42)</f>
        <v>1318300</v>
      </c>
    </row>
    <row r="43" spans="1:5">
      <c r="A43" s="36" t="s">
        <v>33</v>
      </c>
      <c r="B43" s="37">
        <f>SUMIFS('Cleaned Data'!G:G,'Cleaned Data'!D:D,$A43)</f>
        <v>883500</v>
      </c>
      <c r="C43" s="43"/>
      <c r="D43" s="38" t="s">
        <v>23</v>
      </c>
      <c r="E43" s="37">
        <f>SUMIFS('Cleaned Data'!$G:$G,'Cleaned Data'!K:K,$D43)</f>
        <v>838500</v>
      </c>
    </row>
    <row r="44" spans="1:5">
      <c r="A44" s="52" t="s">
        <v>37</v>
      </c>
      <c r="B44" s="47">
        <f>SUMIFS('Cleaned Data'!G:G,'Cleaned Data'!D:D,$A44)</f>
        <v>263900</v>
      </c>
      <c r="C44" s="40"/>
      <c r="D44" s="51" t="s">
        <v>29</v>
      </c>
      <c r="E44" s="47">
        <f>SUMIFS('Cleaned Data'!$G:$G,'Cleaned Data'!K:K,$D44)</f>
        <v>1266800</v>
      </c>
    </row>
    <row r="45" spans="1:5">
      <c r="A45" s="36" t="s">
        <v>68</v>
      </c>
      <c r="B45" s="37">
        <f>SUMIFS('Cleaned Data'!G:G,'Cleaned Data'!D:D,$A45)</f>
        <v>329500</v>
      </c>
      <c r="C45" s="43"/>
      <c r="D45" s="38" t="s">
        <v>48</v>
      </c>
      <c r="E45" s="37">
        <f>SUMIFS('Cleaned Data'!$G:$G,'Cleaned Data'!K:K,$D45)</f>
        <v>1122800</v>
      </c>
    </row>
  </sheetData>
  <pageMargins left="0.7" right="0.7" top="0.75" bottom="0.75" header="0.3" footer="0.3"/>
  <pageSetup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1"/>
  <sheetViews>
    <sheetView topLeftCell="J7" workbookViewId="0">
      <selection activeCell="R18" sqref="R18"/>
    </sheetView>
  </sheetViews>
  <sheetFormatPr defaultRowHeight="15"/>
  <cols>
    <col min="1" max="1" width="16.28515625" bestFit="1" customWidth="1"/>
    <col min="3" max="3" width="16.28515625" bestFit="1" customWidth="1"/>
    <col min="8" max="8" width="12.7109375" bestFit="1" customWidth="1"/>
    <col min="10" max="10" width="16.5703125" bestFit="1" customWidth="1"/>
    <col min="13" max="13" width="13.42578125" bestFit="1" customWidth="1"/>
    <col min="15" max="15" width="16.28515625" customWidth="1"/>
    <col min="16" max="16" width="20" customWidth="1"/>
    <col min="18" max="18" width="13.140625" customWidth="1"/>
    <col min="19" max="19" width="20" customWidth="1"/>
  </cols>
  <sheetData>
    <row r="1" spans="1:19">
      <c r="A1" s="1" t="s">
        <v>3</v>
      </c>
      <c r="C1" s="1" t="s">
        <v>2</v>
      </c>
      <c r="D1" t="s">
        <v>222</v>
      </c>
      <c r="E1" t="s">
        <v>223</v>
      </c>
      <c r="H1" s="1" t="s">
        <v>9</v>
      </c>
      <c r="J1" s="1" t="s">
        <v>7</v>
      </c>
      <c r="M1" s="1" t="s">
        <v>10</v>
      </c>
      <c r="O1" s="1"/>
      <c r="P1" s="5"/>
      <c r="R1" s="7" t="s">
        <v>249</v>
      </c>
      <c r="S1" t="s">
        <v>251</v>
      </c>
    </row>
    <row r="2" spans="1:19">
      <c r="A2" t="s">
        <v>13</v>
      </c>
      <c r="B2">
        <f>SUMIFS('Cleaned Data'!G:G,'Cleaned Data'!D:D,$A2)</f>
        <v>886000</v>
      </c>
      <c r="C2" t="s">
        <v>12</v>
      </c>
      <c r="D2">
        <f>SUMIFS('Cleaned Data'!G:G,'Cleaned Data'!C:C,Sheet3!$C$2)</f>
        <v>180000</v>
      </c>
      <c r="E2">
        <f>SUMIFS('Cleaned Data'!E:E,'Cleaned Data'!C:C,Sheet3!$C2)</f>
        <v>24</v>
      </c>
      <c r="F2" t="s">
        <v>15</v>
      </c>
      <c r="G2">
        <f>SUMIFS('Cleaned Data'!G:G,'Cleaned Data'!I:I,Sheet3!$F2)</f>
        <v>1865100</v>
      </c>
      <c r="H2" t="s">
        <v>16</v>
      </c>
      <c r="I2">
        <f>SUMIFS('Cleaned Data'!$G:$G,'Cleaned Data'!$J:$J,Sheet3!$H$2)</f>
        <v>867600</v>
      </c>
      <c r="J2" t="s">
        <v>14</v>
      </c>
      <c r="K2">
        <f>SUMIFS('Cleaned Data'!$G:$G,'Cleaned Data'!$H:$H,Sheet3!$J$2)</f>
        <v>1387200</v>
      </c>
      <c r="L2">
        <f>COUNTIF('Cleaned Data'!H:H,Sheet3!$J2)</f>
        <v>46</v>
      </c>
      <c r="M2" t="s">
        <v>17</v>
      </c>
      <c r="N2">
        <f>COUNTIF('Cleaned Data'!$K:$K,Sheet3!$M$2)</f>
        <v>42</v>
      </c>
      <c r="O2" s="2" t="s">
        <v>241</v>
      </c>
      <c r="P2" s="2">
        <f>SUMIFS('Cleaned Data'!G2:G151,'Cleaned Data'!L2:L151,Sheet3!$O2)</f>
        <v>1527400</v>
      </c>
      <c r="Q2">
        <f>SUMIFS('Cleaned Data'!G:G,Sheet3!O:O,Sheet3!$P2)</f>
        <v>0</v>
      </c>
      <c r="R2" s="8" t="s">
        <v>244</v>
      </c>
      <c r="S2" s="9">
        <v>1153000</v>
      </c>
    </row>
    <row r="3" spans="1:19">
      <c r="A3" t="s">
        <v>20</v>
      </c>
      <c r="B3">
        <f>SUMIFS('Cleaned Data'!G:G,'Cleaned Data'!D:D,$A3)</f>
        <v>2183500</v>
      </c>
      <c r="C3" t="s">
        <v>19</v>
      </c>
      <c r="D3">
        <f>SUMIFS('Cleaned Data'!G:G,'Cleaned Data'!C:C,Sheet3!$C3)</f>
        <v>490000</v>
      </c>
      <c r="E3">
        <f>SUMIFS('Cleaned Data'!E:E,'Cleaned Data'!C:C,Sheet3!$C3)</f>
        <v>28</v>
      </c>
      <c r="F3" t="s">
        <v>25</v>
      </c>
      <c r="G3">
        <f>SUMIFS('Cleaned Data'!G:G,'Cleaned Data'!I:I,Sheet3!$F3)</f>
        <v>2681300</v>
      </c>
      <c r="H3" t="s">
        <v>22</v>
      </c>
      <c r="I3">
        <f>SUMIFS('Cleaned Data'!G:G,'Cleaned Data'!J:J,Sheet3!$H3)</f>
        <v>980600</v>
      </c>
      <c r="J3" t="s">
        <v>21</v>
      </c>
      <c r="K3">
        <f>SUMIFS('Cleaned Data'!$G:$G,'Cleaned Data'!$H:$H,Sheet3!$J3)</f>
        <v>1158000</v>
      </c>
      <c r="L3">
        <f>COUNTIF('Cleaned Data'!H:H,Sheet3!$J3)</f>
        <v>30</v>
      </c>
      <c r="M3" t="s">
        <v>23</v>
      </c>
      <c r="N3">
        <f>COUNTIF('Cleaned Data'!K:K,Sheet3!$M3)</f>
        <v>27</v>
      </c>
      <c r="O3" s="2" t="s">
        <v>242</v>
      </c>
      <c r="P3" s="2"/>
      <c r="R3" s="8" t="s">
        <v>242</v>
      </c>
      <c r="S3" s="9">
        <v>1057300</v>
      </c>
    </row>
    <row r="4" spans="1:19">
      <c r="A4" t="s">
        <v>33</v>
      </c>
      <c r="B4">
        <f>SUMIFS('Cleaned Data'!G:G,'Cleaned Data'!D:D,$A4)</f>
        <v>883500</v>
      </c>
      <c r="C4" t="s">
        <v>27</v>
      </c>
      <c r="D4">
        <f>SUMIFS('Cleaned Data'!G:G,'Cleaned Data'!C:C,Sheet3!$C4)</f>
        <v>1232000</v>
      </c>
      <c r="E4">
        <f>SUMIFS('Cleaned Data'!E:E,'Cleaned Data'!C:C,Sheet3!$C4)</f>
        <v>44</v>
      </c>
      <c r="G4" t="str">
        <f>INDEX(F2:F3,MATCH(MAX(G2:G3),G2:G3,0))</f>
        <v>Returning</v>
      </c>
      <c r="H4" t="s">
        <v>28</v>
      </c>
      <c r="I4">
        <f>SUMIFS('Cleaned Data'!G:G,'Cleaned Data'!J:J,Sheet3!$H4)</f>
        <v>1209000</v>
      </c>
      <c r="J4" t="s">
        <v>34</v>
      </c>
      <c r="K4">
        <f>SUMIFS('Cleaned Data'!$G:$G,'Cleaned Data'!$H:$H,Sheet3!$J4)</f>
        <v>1049300</v>
      </c>
      <c r="L4">
        <f>COUNTIF('Cleaned Data'!H:H,Sheet3!$J4)</f>
        <v>37</v>
      </c>
      <c r="M4" t="s">
        <v>29</v>
      </c>
      <c r="N4">
        <f>COUNTIF('Cleaned Data'!K:K,Sheet3!$M4)</f>
        <v>41</v>
      </c>
      <c r="O4" s="2" t="s">
        <v>243</v>
      </c>
      <c r="P4" s="2"/>
      <c r="R4" s="8" t="s">
        <v>241</v>
      </c>
      <c r="S4" s="9">
        <v>1527400</v>
      </c>
    </row>
    <row r="5" spans="1:19">
      <c r="A5" t="s">
        <v>37</v>
      </c>
      <c r="B5">
        <f>SUMIFS('Cleaned Data'!G:G,'Cleaned Data'!D:D,$A5)</f>
        <v>263900</v>
      </c>
      <c r="C5" t="s">
        <v>32</v>
      </c>
      <c r="D5">
        <f>SUMIFS('Cleaned Data'!G:G,'Cleaned Data'!C:C,Sheet3!$C5)</f>
        <v>450000</v>
      </c>
      <c r="E5">
        <f>SUMIFS('Cleaned Data'!E:E,'Cleaned Data'!C:C,Sheet3!$C5)</f>
        <v>25</v>
      </c>
      <c r="H5" t="s">
        <v>44</v>
      </c>
      <c r="I5">
        <f>SUMIFS('Cleaned Data'!G:G,'Cleaned Data'!J:J,Sheet3!$H5)</f>
        <v>753300</v>
      </c>
      <c r="J5" t="s">
        <v>41</v>
      </c>
      <c r="K5">
        <f>SUMIFS('Cleaned Data'!$G:$G,'Cleaned Data'!$H:$H,Sheet3!$J5)</f>
        <v>951900</v>
      </c>
      <c r="L5">
        <f>COUNTIF('Cleaned Data'!H:H,Sheet3!$J5)</f>
        <v>37</v>
      </c>
      <c r="M5" t="s">
        <v>48</v>
      </c>
      <c r="N5">
        <f>COUNTIF('Cleaned Data'!K:K,Sheet3!$M5)</f>
        <v>40</v>
      </c>
      <c r="O5" s="2" t="s">
        <v>244</v>
      </c>
      <c r="R5" s="8" t="s">
        <v>243</v>
      </c>
      <c r="S5" s="9">
        <v>808700</v>
      </c>
    </row>
    <row r="6" spans="1:19">
      <c r="A6" t="s">
        <v>68</v>
      </c>
      <c r="B6">
        <f>SUMIFS('Cleaned Data'!G:G,'Cleaned Data'!D:D,$A6)</f>
        <v>329500</v>
      </c>
      <c r="C6" t="s">
        <v>36</v>
      </c>
      <c r="D6">
        <f>SUMIFS('Cleaned Data'!G:G,'Cleaned Data'!C:C,Sheet3!$C6)</f>
        <v>52500</v>
      </c>
      <c r="E6">
        <f>SUMIFS('Cleaned Data'!E:E,'Cleaned Data'!C:C,Sheet3!$C6)</f>
        <v>21</v>
      </c>
      <c r="H6" t="s">
        <v>47</v>
      </c>
      <c r="I6">
        <f>SUMIFS('Cleaned Data'!G:G,'Cleaned Data'!J:J,Sheet3!$H6)</f>
        <v>735900</v>
      </c>
      <c r="O6" s="2"/>
      <c r="R6" s="8" t="s">
        <v>250</v>
      </c>
      <c r="S6" s="9">
        <v>4546400</v>
      </c>
    </row>
    <row r="7" spans="1:19">
      <c r="C7" t="s">
        <v>39</v>
      </c>
      <c r="D7">
        <f>SUMIFS('Cleaned Data'!G:G,'Cleaned Data'!C:C,Sheet3!$C7)</f>
        <v>68400</v>
      </c>
      <c r="E7">
        <f>SUMIFS('Cleaned Data'!E:E,'Cleaned Data'!C:C,Sheet3!$C7)</f>
        <v>38</v>
      </c>
      <c r="O7" s="2"/>
    </row>
    <row r="8" spans="1:19">
      <c r="C8" t="s">
        <v>43</v>
      </c>
      <c r="D8">
        <f>SUMIFS('Cleaned Data'!G:G,'Cleaned Data'!C:C,Sheet3!$C8)</f>
        <v>237500</v>
      </c>
      <c r="E8">
        <f>SUMIFS('Cleaned Data'!E:E,'Cleaned Data'!C:C,Sheet3!$C8)</f>
        <v>25</v>
      </c>
      <c r="O8" s="7" t="s">
        <v>249</v>
      </c>
      <c r="P8" t="s">
        <v>251</v>
      </c>
    </row>
    <row r="9" spans="1:19">
      <c r="C9" t="s">
        <v>54</v>
      </c>
      <c r="D9">
        <f>SUMIFS('Cleaned Data'!G:G,'Cleaned Data'!C:C,Sheet3!$C9)</f>
        <v>224000</v>
      </c>
      <c r="E9">
        <f>SUMIFS('Cleaned Data'!E:E,'Cleaned Data'!C:C,Sheet3!$C9)</f>
        <v>28</v>
      </c>
      <c r="O9" s="8" t="s">
        <v>32</v>
      </c>
      <c r="P9" s="9">
        <v>450000</v>
      </c>
    </row>
    <row r="10" spans="1:19">
      <c r="C10" t="s">
        <v>56</v>
      </c>
      <c r="D10">
        <f>SUMIFS('Cleaned Data'!G:G,'Cleaned Data'!C:C,Sheet3!$C10)</f>
        <v>348000</v>
      </c>
      <c r="E10">
        <f>SUMIFS('Cleaned Data'!E:E,'Cleaned Data'!C:C,Sheet3!$C10)</f>
        <v>24</v>
      </c>
      <c r="O10" s="8" t="s">
        <v>70</v>
      </c>
      <c r="P10" s="9">
        <v>180000</v>
      </c>
    </row>
    <row r="11" spans="1:19">
      <c r="C11" t="s">
        <v>61</v>
      </c>
      <c r="D11">
        <f>SUMIFS('Cleaned Data'!G:G,'Cleaned Data'!C:C,Sheet3!$C11)</f>
        <v>143000</v>
      </c>
      <c r="E11">
        <f>SUMIFS('Cleaned Data'!E:E,'Cleaned Data'!C:C,Sheet3!$C11)</f>
        <v>26</v>
      </c>
      <c r="O11" s="8" t="s">
        <v>39</v>
      </c>
      <c r="P11" s="9">
        <v>68400</v>
      </c>
    </row>
    <row r="12" spans="1:19">
      <c r="C12" t="s">
        <v>65</v>
      </c>
      <c r="D12">
        <f>SUMIFS('Cleaned Data'!G:G,'Cleaned Data'!C:C,Sheet3!$C12)</f>
        <v>85500</v>
      </c>
      <c r="E12">
        <f>SUMIFS('Cleaned Data'!E:E,'Cleaned Data'!C:C,Sheet3!$C12)</f>
        <v>19</v>
      </c>
      <c r="O12" s="8" t="s">
        <v>19</v>
      </c>
      <c r="P12" s="9">
        <v>490000</v>
      </c>
    </row>
    <row r="13" spans="1:19">
      <c r="C13" t="s">
        <v>67</v>
      </c>
      <c r="D13">
        <f>SUMIFS('Cleaned Data'!G:G,'Cleaned Data'!C:C,Sheet3!$C13)</f>
        <v>149500</v>
      </c>
      <c r="E13">
        <f>SUMIFS('Cleaned Data'!E:E,'Cleaned Data'!C:C,Sheet3!$C13)</f>
        <v>23</v>
      </c>
      <c r="O13" s="8" t="s">
        <v>56</v>
      </c>
      <c r="P13" s="9">
        <v>348000</v>
      </c>
    </row>
    <row r="14" spans="1:19">
      <c r="C14" t="s">
        <v>70</v>
      </c>
      <c r="D14">
        <f>SUMIFS('Cleaned Data'!G:G,'Cleaned Data'!C:C,Sheet3!$C14)</f>
        <v>180000</v>
      </c>
      <c r="E14">
        <f>SUMIFS('Cleaned Data'!E:E,'Cleaned Data'!C:C,Sheet3!$C14)</f>
        <v>15</v>
      </c>
      <c r="O14" s="8" t="s">
        <v>36</v>
      </c>
      <c r="P14" s="9">
        <v>52500</v>
      </c>
    </row>
    <row r="15" spans="1:19">
      <c r="C15" t="s">
        <v>72</v>
      </c>
      <c r="D15">
        <f>SUMIFS('Cleaned Data'!G:G,'Cleaned Data'!C:C,Sheet3!$C15)</f>
        <v>222000</v>
      </c>
      <c r="E15">
        <f>SUMIFS('Cleaned Data'!E:E,'Cleaned Data'!C:C,Sheet3!$C15)</f>
        <v>12</v>
      </c>
      <c r="O15" s="8" t="s">
        <v>65</v>
      </c>
      <c r="P15" s="9">
        <v>85500</v>
      </c>
    </row>
    <row r="16" spans="1:19">
      <c r="C16" t="s">
        <v>114</v>
      </c>
      <c r="D16">
        <f>SUMIFS('Cleaned Data'!G:G,'Cleaned Data'!C:C,Sheet3!$C16)</f>
        <v>484000</v>
      </c>
      <c r="E16">
        <f>SUMIFS('Cleaned Data'!E:E,'Cleaned Data'!C:C,Sheet3!$C16)</f>
        <v>22</v>
      </c>
      <c r="O16" s="8" t="s">
        <v>12</v>
      </c>
      <c r="P16" s="9">
        <v>180000</v>
      </c>
    </row>
    <row r="17" spans="15:16">
      <c r="O17" s="8" t="s">
        <v>61</v>
      </c>
      <c r="P17" s="9">
        <v>143000</v>
      </c>
    </row>
    <row r="18" spans="15:16">
      <c r="O18" s="8" t="s">
        <v>114</v>
      </c>
      <c r="P18" s="9">
        <v>484000</v>
      </c>
    </row>
    <row r="19" spans="15:16">
      <c r="O19" s="8" t="s">
        <v>27</v>
      </c>
      <c r="P19" s="9">
        <v>1232000</v>
      </c>
    </row>
    <row r="20" spans="15:16">
      <c r="O20" s="8" t="s">
        <v>54</v>
      </c>
      <c r="P20" s="9">
        <v>224000</v>
      </c>
    </row>
    <row r="21" spans="15:16">
      <c r="O21" s="8" t="s">
        <v>43</v>
      </c>
      <c r="P21" s="9">
        <v>237500</v>
      </c>
    </row>
    <row r="22" spans="15:16">
      <c r="O22" s="8" t="s">
        <v>67</v>
      </c>
      <c r="P22" s="9">
        <v>149500</v>
      </c>
    </row>
    <row r="23" spans="15:16">
      <c r="O23" s="8" t="s">
        <v>72</v>
      </c>
      <c r="P23" s="9">
        <v>222000</v>
      </c>
    </row>
    <row r="24" spans="15:16">
      <c r="O24" s="8" t="s">
        <v>250</v>
      </c>
      <c r="P24" s="9">
        <v>4546400</v>
      </c>
    </row>
    <row r="83" spans="15:15">
      <c r="O83" s="2"/>
    </row>
    <row r="84" spans="15:15">
      <c r="O84" s="2"/>
    </row>
    <row r="85" spans="15:15">
      <c r="O85" s="2"/>
    </row>
    <row r="86" spans="15:15">
      <c r="O86" s="2"/>
    </row>
    <row r="87" spans="15:15">
      <c r="O87" s="2"/>
    </row>
    <row r="88" spans="15:15">
      <c r="O88" s="2"/>
    </row>
    <row r="89" spans="15:15">
      <c r="O89" s="2"/>
    </row>
    <row r="90" spans="15:15">
      <c r="O90" s="2"/>
    </row>
    <row r="91" spans="15:15">
      <c r="O91" s="2"/>
    </row>
    <row r="92" spans="15:15">
      <c r="O92" s="2"/>
    </row>
    <row r="93" spans="15:15">
      <c r="O93" s="2"/>
    </row>
    <row r="94" spans="15:15">
      <c r="O94" s="2"/>
    </row>
    <row r="95" spans="15:15">
      <c r="O95" s="2"/>
    </row>
    <row r="96" spans="15:15">
      <c r="O96" s="2"/>
    </row>
    <row r="97" spans="15:15">
      <c r="O97" s="2"/>
    </row>
    <row r="98" spans="15:15">
      <c r="O98" s="2"/>
    </row>
    <row r="99" spans="15:15">
      <c r="O99" s="2"/>
    </row>
    <row r="100" spans="15:15">
      <c r="O100" s="2"/>
    </row>
    <row r="101" spans="15:15">
      <c r="O101" s="2"/>
    </row>
    <row r="102" spans="15:15">
      <c r="O102" s="2"/>
    </row>
    <row r="103" spans="15:15">
      <c r="O103" s="2"/>
    </row>
    <row r="104" spans="15:15">
      <c r="O104" s="2"/>
    </row>
    <row r="105" spans="15:15">
      <c r="O105" s="2"/>
    </row>
    <row r="106" spans="15:15">
      <c r="O106" s="2"/>
    </row>
    <row r="107" spans="15:15">
      <c r="O107" s="2"/>
    </row>
    <row r="108" spans="15:15">
      <c r="O108" s="2"/>
    </row>
    <row r="109" spans="15:15">
      <c r="O109" s="2"/>
    </row>
    <row r="110" spans="15:15">
      <c r="O110" s="2"/>
    </row>
    <row r="111" spans="15:15">
      <c r="O111" s="2"/>
    </row>
    <row r="112" spans="15:15">
      <c r="O112" s="2"/>
    </row>
    <row r="113" spans="15:15">
      <c r="O113" s="2"/>
    </row>
    <row r="114" spans="15:15">
      <c r="O114" s="2"/>
    </row>
    <row r="115" spans="15:15">
      <c r="O115" s="2"/>
    </row>
    <row r="116" spans="15:15">
      <c r="O116" s="2"/>
    </row>
    <row r="117" spans="15:15">
      <c r="O117" s="2"/>
    </row>
    <row r="118" spans="15:15">
      <c r="O118" s="2"/>
    </row>
    <row r="119" spans="15:15">
      <c r="O119" s="2"/>
    </row>
    <row r="120" spans="15:15">
      <c r="O120" s="2"/>
    </row>
    <row r="121" spans="15:15">
      <c r="O121" s="2"/>
    </row>
    <row r="122" spans="15:15">
      <c r="O122" s="2"/>
    </row>
    <row r="123" spans="15:15">
      <c r="O123" s="2"/>
    </row>
    <row r="124" spans="15:15">
      <c r="O124" s="2"/>
    </row>
    <row r="125" spans="15:15">
      <c r="O125" s="2"/>
    </row>
    <row r="126" spans="15:15">
      <c r="O126" s="2"/>
    </row>
    <row r="127" spans="15:15">
      <c r="O127" s="2"/>
    </row>
    <row r="128" spans="15:15">
      <c r="O128" s="2"/>
    </row>
    <row r="129" spans="15:15">
      <c r="O129" s="2"/>
    </row>
    <row r="130" spans="15:15">
      <c r="O130" s="2"/>
    </row>
    <row r="131" spans="15:15">
      <c r="O131" s="2"/>
    </row>
    <row r="132" spans="15:15">
      <c r="O132" s="2"/>
    </row>
    <row r="133" spans="15:15">
      <c r="O133" s="2"/>
    </row>
    <row r="134" spans="15:15">
      <c r="O134" s="2"/>
    </row>
    <row r="135" spans="15:15">
      <c r="O135" s="2"/>
    </row>
    <row r="136" spans="15:15">
      <c r="O136" s="2"/>
    </row>
    <row r="137" spans="15:15">
      <c r="O137" s="2"/>
    </row>
    <row r="138" spans="15:15">
      <c r="O138" s="2"/>
    </row>
    <row r="139" spans="15:15">
      <c r="O139" s="2"/>
    </row>
    <row r="140" spans="15:15">
      <c r="O140" s="2"/>
    </row>
    <row r="141" spans="15:15">
      <c r="O141" s="2"/>
    </row>
    <row r="142" spans="15:15">
      <c r="O142" s="2"/>
    </row>
    <row r="143" spans="15:15">
      <c r="O143" s="2"/>
    </row>
    <row r="144" spans="15:15">
      <c r="O144" s="2"/>
    </row>
    <row r="145" spans="15:15">
      <c r="O145" s="2"/>
    </row>
    <row r="146" spans="15:15">
      <c r="O146" s="2"/>
    </row>
    <row r="147" spans="15:15">
      <c r="O147" s="2"/>
    </row>
    <row r="148" spans="15:15">
      <c r="O148" s="2"/>
    </row>
    <row r="149" spans="15:15">
      <c r="O149" s="2"/>
    </row>
    <row r="150" spans="15:15">
      <c r="O150" s="2"/>
    </row>
    <row r="151" spans="15:15">
      <c r="O151" s="2"/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topLeftCell="A2" workbookViewId="0">
      <selection activeCell="B25" sqref="B25"/>
    </sheetView>
  </sheetViews>
  <sheetFormatPr defaultRowHeight="15"/>
  <cols>
    <col min="1" max="1" width="33.28515625" bestFit="1" customWidth="1"/>
    <col min="2" max="4" width="11" customWidth="1"/>
    <col min="5" max="5" width="8.7109375" customWidth="1"/>
  </cols>
  <sheetData>
    <row r="1" spans="1:4">
      <c r="A1" s="59" t="s">
        <v>203</v>
      </c>
      <c r="B1" s="60"/>
      <c r="C1" s="60"/>
      <c r="D1" s="60"/>
    </row>
    <row r="2" spans="1:4">
      <c r="A2" s="39"/>
      <c r="B2" s="40"/>
      <c r="C2" s="40"/>
      <c r="D2" s="40"/>
    </row>
    <row r="3" spans="1:4">
      <c r="A3" s="42" t="s">
        <v>240</v>
      </c>
      <c r="B3" s="43"/>
      <c r="C3" s="43"/>
      <c r="D3" s="43"/>
    </row>
    <row r="4" spans="1:4">
      <c r="A4" s="52" t="s">
        <v>244</v>
      </c>
      <c r="B4" s="47">
        <f>SUMIFS('Cleaned Data'!$G:$G,'Cleaned Data'!$L:$L,'Monthly Analysis'!$A4)</f>
        <v>1153000</v>
      </c>
      <c r="C4" s="40"/>
      <c r="D4" s="40"/>
    </row>
    <row r="5" spans="1:4">
      <c r="A5" s="36" t="s">
        <v>242</v>
      </c>
      <c r="B5" s="37">
        <f>SUMIFS('Cleaned Data'!$G:$G,'Cleaned Data'!$L:$L,'Monthly Analysis'!$A5)</f>
        <v>1057300</v>
      </c>
      <c r="C5" s="43"/>
      <c r="D5" s="43"/>
    </row>
    <row r="6" spans="1:4">
      <c r="A6" s="52" t="s">
        <v>243</v>
      </c>
      <c r="B6" s="47">
        <f>SUMIFS('Cleaned Data'!$G:$G,'Cleaned Data'!$L:$L,'Monthly Analysis'!$A6)</f>
        <v>808700</v>
      </c>
      <c r="C6" s="40"/>
      <c r="D6" s="40"/>
    </row>
    <row r="7" spans="1:4">
      <c r="A7" s="36" t="s">
        <v>241</v>
      </c>
      <c r="B7" s="37">
        <f>SUMIFS('Cleaned Data'!$G:$G,'Cleaned Data'!$L:$L,'Monthly Analysis'!$A7)</f>
        <v>1527400</v>
      </c>
      <c r="C7" s="43"/>
      <c r="D7" s="43"/>
    </row>
    <row r="8" spans="1:4">
      <c r="A8" s="39"/>
      <c r="B8" s="40"/>
      <c r="C8" s="40"/>
      <c r="D8" s="40"/>
    </row>
    <row r="9" spans="1:4">
      <c r="A9" s="50"/>
      <c r="B9" s="43"/>
      <c r="C9" s="43"/>
      <c r="D9" s="43"/>
    </row>
    <row r="10" spans="1:4">
      <c r="A10" s="58" t="s">
        <v>245</v>
      </c>
      <c r="B10" s="40"/>
      <c r="C10" s="40"/>
      <c r="D10" s="40"/>
    </row>
    <row r="11" spans="1:4">
      <c r="A11" s="36" t="s">
        <v>244</v>
      </c>
      <c r="B11" s="37">
        <f>SUMIFS('Cleaned Data'!E:E,'Cleaned Data'!L:L,'Monthly Analysis'!$A11)</f>
        <v>99</v>
      </c>
      <c r="C11" s="43"/>
      <c r="D11" s="43"/>
    </row>
    <row r="12" spans="1:4">
      <c r="A12" s="52" t="s">
        <v>242</v>
      </c>
      <c r="B12" s="47">
        <f>SUMIFS('Cleaned Data'!E:E,'Cleaned Data'!L:L,'Monthly Analysis'!$A12)</f>
        <v>94</v>
      </c>
      <c r="C12" s="40"/>
      <c r="D12" s="40"/>
    </row>
    <row r="13" spans="1:4">
      <c r="A13" s="36" t="s">
        <v>243</v>
      </c>
      <c r="B13" s="37">
        <f>SUMIFS('Cleaned Data'!E:E,'Cleaned Data'!L:L,'Monthly Analysis'!$A13)</f>
        <v>67</v>
      </c>
      <c r="C13" s="43"/>
      <c r="D13" s="43"/>
    </row>
    <row r="14" spans="1:4">
      <c r="A14" s="52" t="s">
        <v>241</v>
      </c>
      <c r="B14" s="47">
        <f>SUMIFS('Cleaned Data'!E:E,'Cleaned Data'!L:L,'Monthly Analysis'!$A14)</f>
        <v>114</v>
      </c>
      <c r="C14" s="40"/>
      <c r="D14" s="40"/>
    </row>
    <row r="15" spans="1:4">
      <c r="A15" s="36"/>
      <c r="B15" s="37"/>
      <c r="C15" s="43"/>
      <c r="D15" s="43"/>
    </row>
    <row r="16" spans="1:4">
      <c r="A16" s="39"/>
      <c r="B16" s="40"/>
      <c r="C16" s="40"/>
      <c r="D16" s="40"/>
    </row>
    <row r="17" spans="1:4">
      <c r="A17" s="48" t="s">
        <v>246</v>
      </c>
      <c r="B17" s="43"/>
      <c r="C17" s="43"/>
      <c r="D17" s="43"/>
    </row>
    <row r="18" spans="1:4">
      <c r="A18" s="52" t="s">
        <v>244</v>
      </c>
      <c r="B18" s="47">
        <f>COUNTIFS('Cleaned Data'!L:L,'Monthly Analysis'!A18)</f>
        <v>38</v>
      </c>
      <c r="C18" s="40"/>
      <c r="D18" s="40"/>
    </row>
    <row r="19" spans="1:4">
      <c r="A19" s="36" t="s">
        <v>242</v>
      </c>
      <c r="B19" s="37">
        <f>COUNTIFS('Cleaned Data'!L:L,'Monthly Analysis'!A19)</f>
        <v>37</v>
      </c>
      <c r="C19" s="43"/>
      <c r="D19" s="43"/>
    </row>
    <row r="20" spans="1:4">
      <c r="A20" s="52" t="s">
        <v>243</v>
      </c>
      <c r="B20" s="47">
        <f>COUNTIFS('Cleaned Data'!L:L,'Monthly Analysis'!A20)</f>
        <v>30</v>
      </c>
      <c r="C20" s="40"/>
      <c r="D20" s="40"/>
    </row>
    <row r="21" spans="1:4">
      <c r="A21" s="36" t="s">
        <v>241</v>
      </c>
      <c r="B21" s="37">
        <f>COUNTIFS('Cleaned Data'!L:L,'Monthly Analysis'!A21)</f>
        <v>45</v>
      </c>
      <c r="C21" s="43"/>
      <c r="D21" s="43"/>
    </row>
    <row r="22" spans="1:4">
      <c r="A22" s="52"/>
      <c r="B22" s="40"/>
      <c r="C22" s="40"/>
      <c r="D22" s="40"/>
    </row>
    <row r="23" spans="1:4">
      <c r="A23" s="36"/>
      <c r="B23" s="43"/>
      <c r="C23" s="43"/>
      <c r="D23" s="43"/>
    </row>
    <row r="24" spans="1:4">
      <c r="A24" s="46" t="s">
        <v>247</v>
      </c>
      <c r="B24" s="41" t="str">
        <f>INDEX(A4:A7,MATCH(MAX(B4:B7),B4:B7,0))</f>
        <v>April</v>
      </c>
      <c r="C24" s="40"/>
      <c r="D24" s="40"/>
    </row>
    <row r="25" spans="1:4">
      <c r="A25" s="48" t="s">
        <v>248</v>
      </c>
      <c r="B25" s="45" t="str">
        <f>INDEX(A4:A7,MATCH(MIN(B4:B7),B4:B7,0))</f>
        <v>May</v>
      </c>
      <c r="C25" s="43"/>
      <c r="D25" s="43"/>
    </row>
    <row r="26" spans="1:4">
      <c r="A26" s="39"/>
      <c r="B26" s="40"/>
      <c r="C26" s="40"/>
      <c r="D26" s="40"/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topLeftCell="A22" workbookViewId="0">
      <selection activeCell="L37" sqref="L37"/>
    </sheetView>
  </sheetViews>
  <sheetFormatPr defaultRowHeight="15"/>
  <cols>
    <col min="1" max="1" width="16.28515625" style="10" customWidth="1"/>
    <col min="2" max="2" width="20" style="10" customWidth="1"/>
    <col min="3" max="3" width="9.140625" style="10"/>
    <col min="4" max="4" width="14.140625" style="10" bestFit="1" customWidth="1"/>
    <col min="5" max="5" width="13.140625" style="10" customWidth="1"/>
    <col min="6" max="6" width="20" style="10" customWidth="1"/>
    <col min="7" max="16384" width="9.140625" style="10"/>
  </cols>
  <sheetData>
    <row r="1" spans="1:6">
      <c r="D1" s="19" t="s">
        <v>252</v>
      </c>
    </row>
    <row r="4" spans="1:6">
      <c r="A4" s="12" t="s">
        <v>255</v>
      </c>
      <c r="B4" s="12" t="s">
        <v>251</v>
      </c>
      <c r="E4" s="12" t="s">
        <v>7</v>
      </c>
      <c r="F4" s="12" t="s">
        <v>251</v>
      </c>
    </row>
    <row r="5" spans="1:6">
      <c r="A5" s="20" t="s">
        <v>32</v>
      </c>
      <c r="B5" s="21">
        <v>450000</v>
      </c>
      <c r="E5" s="20" t="s">
        <v>14</v>
      </c>
      <c r="F5" s="21">
        <v>1387200</v>
      </c>
    </row>
    <row r="6" spans="1:6">
      <c r="A6" s="23" t="s">
        <v>70</v>
      </c>
      <c r="B6" s="24">
        <v>180000</v>
      </c>
      <c r="E6" s="23" t="s">
        <v>21</v>
      </c>
      <c r="F6" s="24">
        <v>1158000</v>
      </c>
    </row>
    <row r="7" spans="1:6">
      <c r="A7" s="20" t="s">
        <v>39</v>
      </c>
      <c r="B7" s="21">
        <v>68400</v>
      </c>
      <c r="E7" s="20" t="s">
        <v>34</v>
      </c>
      <c r="F7" s="21">
        <v>1049300</v>
      </c>
    </row>
    <row r="8" spans="1:6">
      <c r="A8" s="23" t="s">
        <v>19</v>
      </c>
      <c r="B8" s="24">
        <v>490000</v>
      </c>
      <c r="E8" s="23" t="s">
        <v>41</v>
      </c>
      <c r="F8" s="24">
        <v>951900</v>
      </c>
    </row>
    <row r="9" spans="1:6">
      <c r="A9" s="20" t="s">
        <v>56</v>
      </c>
      <c r="B9" s="21">
        <v>348000</v>
      </c>
      <c r="E9" s="26" t="s">
        <v>250</v>
      </c>
      <c r="F9" s="27">
        <v>4546400</v>
      </c>
    </row>
    <row r="10" spans="1:6">
      <c r="A10" s="23" t="s">
        <v>36</v>
      </c>
      <c r="B10" s="24">
        <v>52500</v>
      </c>
    </row>
    <row r="11" spans="1:6">
      <c r="A11" s="20" t="s">
        <v>65</v>
      </c>
      <c r="B11" s="21">
        <v>85500</v>
      </c>
    </row>
    <row r="12" spans="1:6">
      <c r="A12" s="23" t="s">
        <v>12</v>
      </c>
      <c r="B12" s="24">
        <v>180000</v>
      </c>
    </row>
    <row r="13" spans="1:6">
      <c r="A13" s="20" t="s">
        <v>61</v>
      </c>
      <c r="B13" s="21">
        <v>143000</v>
      </c>
      <c r="E13" s="13" t="s">
        <v>256</v>
      </c>
      <c r="F13" s="13" t="s">
        <v>251</v>
      </c>
    </row>
    <row r="14" spans="1:6">
      <c r="A14" s="23" t="s">
        <v>114</v>
      </c>
      <c r="B14" s="24">
        <v>484000</v>
      </c>
      <c r="E14" s="10" t="s">
        <v>244</v>
      </c>
      <c r="F14" s="10">
        <v>1153000</v>
      </c>
    </row>
    <row r="15" spans="1:6">
      <c r="A15" s="20" t="s">
        <v>27</v>
      </c>
      <c r="B15" s="21">
        <v>1232000</v>
      </c>
      <c r="E15" s="25" t="s">
        <v>242</v>
      </c>
      <c r="F15" s="25">
        <v>1057300</v>
      </c>
    </row>
    <row r="16" spans="1:6">
      <c r="A16" s="23" t="s">
        <v>54</v>
      </c>
      <c r="B16" s="24">
        <v>224000</v>
      </c>
      <c r="E16" s="10" t="s">
        <v>241</v>
      </c>
      <c r="F16" s="10">
        <v>1527400</v>
      </c>
    </row>
    <row r="17" spans="1:6">
      <c r="A17" s="20" t="s">
        <v>43</v>
      </c>
      <c r="B17" s="21">
        <v>237500</v>
      </c>
      <c r="E17" s="25" t="s">
        <v>243</v>
      </c>
      <c r="F17" s="25">
        <v>808700</v>
      </c>
    </row>
    <row r="18" spans="1:6">
      <c r="A18" s="23" t="s">
        <v>67</v>
      </c>
      <c r="B18" s="24">
        <v>149500</v>
      </c>
      <c r="E18" s="11" t="s">
        <v>250</v>
      </c>
      <c r="F18" s="11">
        <v>4546400</v>
      </c>
    </row>
    <row r="19" spans="1:6">
      <c r="A19" s="20" t="s">
        <v>72</v>
      </c>
      <c r="B19" s="21">
        <v>222000</v>
      </c>
    </row>
    <row r="20" spans="1:6">
      <c r="A20" s="26" t="s">
        <v>250</v>
      </c>
      <c r="B20" s="27">
        <v>4546400</v>
      </c>
    </row>
    <row r="24" spans="1:6">
      <c r="A24" s="13" t="s">
        <v>254</v>
      </c>
      <c r="B24" s="13" t="s">
        <v>251</v>
      </c>
      <c r="E24" s="13" t="s">
        <v>10</v>
      </c>
      <c r="F24" s="12" t="s">
        <v>251</v>
      </c>
    </row>
    <row r="25" spans="1:6">
      <c r="A25" s="20" t="s">
        <v>33</v>
      </c>
      <c r="B25" s="21">
        <v>883500</v>
      </c>
      <c r="E25" s="20" t="s">
        <v>48</v>
      </c>
      <c r="F25" s="21">
        <v>1122800</v>
      </c>
    </row>
    <row r="26" spans="1:6">
      <c r="A26" s="23" t="s">
        <v>13</v>
      </c>
      <c r="B26" s="24">
        <v>886000</v>
      </c>
      <c r="E26" s="23" t="s">
        <v>17</v>
      </c>
      <c r="F26" s="24">
        <v>1318300</v>
      </c>
    </row>
    <row r="27" spans="1:6">
      <c r="A27" s="20" t="s">
        <v>20</v>
      </c>
      <c r="B27" s="21">
        <v>2183500</v>
      </c>
      <c r="E27" s="20" t="s">
        <v>23</v>
      </c>
      <c r="F27" s="21">
        <v>838500</v>
      </c>
    </row>
    <row r="28" spans="1:6">
      <c r="A28" s="23" t="s">
        <v>68</v>
      </c>
      <c r="B28" s="24">
        <v>329500</v>
      </c>
      <c r="E28" s="23" t="s">
        <v>29</v>
      </c>
      <c r="F28" s="24">
        <v>1266800</v>
      </c>
    </row>
    <row r="29" spans="1:6">
      <c r="A29" s="20" t="s">
        <v>37</v>
      </c>
      <c r="B29" s="21">
        <v>263900</v>
      </c>
      <c r="E29" s="26" t="s">
        <v>250</v>
      </c>
      <c r="F29" s="27">
        <v>4546400</v>
      </c>
    </row>
    <row r="30" spans="1:6">
      <c r="A30" s="26" t="s">
        <v>250</v>
      </c>
      <c r="B30" s="27">
        <v>4546400</v>
      </c>
    </row>
    <row r="34" spans="1:6">
      <c r="A34" s="12" t="s">
        <v>9</v>
      </c>
      <c r="B34" s="12" t="s">
        <v>251</v>
      </c>
      <c r="E34" s="14" t="s">
        <v>8</v>
      </c>
      <c r="F34" s="13" t="s">
        <v>251</v>
      </c>
    </row>
    <row r="35" spans="1:6">
      <c r="A35" s="20" t="s">
        <v>28</v>
      </c>
      <c r="B35" s="21">
        <v>1209000</v>
      </c>
      <c r="E35" s="20" t="s">
        <v>15</v>
      </c>
      <c r="F35" s="21">
        <v>1865100</v>
      </c>
    </row>
    <row r="36" spans="1:6">
      <c r="A36" s="23" t="s">
        <v>16</v>
      </c>
      <c r="B36" s="24">
        <v>867600</v>
      </c>
      <c r="E36" s="23" t="s">
        <v>25</v>
      </c>
      <c r="F36" s="24">
        <v>2681300</v>
      </c>
    </row>
    <row r="37" spans="1:6">
      <c r="A37" s="20" t="s">
        <v>44</v>
      </c>
      <c r="B37" s="21">
        <v>753300</v>
      </c>
      <c r="E37" s="26" t="s">
        <v>250</v>
      </c>
      <c r="F37" s="27">
        <v>4546400</v>
      </c>
    </row>
    <row r="38" spans="1:6">
      <c r="A38" s="23" t="s">
        <v>22</v>
      </c>
      <c r="B38" s="24">
        <v>980600</v>
      </c>
    </row>
    <row r="39" spans="1:6">
      <c r="A39" s="20" t="s">
        <v>47</v>
      </c>
      <c r="B39" s="21">
        <v>735900</v>
      </c>
    </row>
    <row r="40" spans="1:6">
      <c r="A40" s="26" t="s">
        <v>250</v>
      </c>
      <c r="B40" s="27">
        <v>4546400</v>
      </c>
    </row>
  </sheetData>
  <pageMargins left="0.7" right="0.7" top="0.75" bottom="0.75" header="0.3" footer="0.3"/>
  <pageSetup scale="97" orientation="portrait" r:id="rId8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E1:G1"/>
  <sheetViews>
    <sheetView topLeftCell="A6" workbookViewId="0"/>
  </sheetViews>
  <sheetFormatPr defaultRowHeight="15"/>
  <cols>
    <col min="1" max="16384" width="9.140625" style="15"/>
  </cols>
  <sheetData>
    <row r="1" spans="5:7" ht="18.75">
      <c r="E1" s="16"/>
      <c r="F1" s="17" t="s">
        <v>253</v>
      </c>
      <c r="G1" s="18"/>
    </row>
  </sheetData>
  <pageMargins left="0.7" right="0.7" top="0.75" bottom="0.75" header="0.3" footer="0.3"/>
  <pageSetup paperSize="8" fitToHeight="1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8"/>
  <sheetViews>
    <sheetView workbookViewId="0">
      <selection activeCell="A16" sqref="A16"/>
    </sheetView>
  </sheetViews>
  <sheetFormatPr defaultRowHeight="15"/>
  <cols>
    <col min="1" max="16384" width="9.140625" style="10"/>
  </cols>
  <sheetData>
    <row r="1" spans="1:2" s="30" customFormat="1">
      <c r="A1" s="29" t="s">
        <v>257</v>
      </c>
    </row>
    <row r="2" spans="1:2">
      <c r="A2" s="31" t="s">
        <v>260</v>
      </c>
    </row>
    <row r="3" spans="1:2">
      <c r="A3" s="31" t="s">
        <v>259</v>
      </c>
      <c r="B3" s="30"/>
    </row>
    <row r="4" spans="1:2">
      <c r="A4" s="31" t="s">
        <v>258</v>
      </c>
    </row>
    <row r="5" spans="1:2">
      <c r="A5" s="31" t="s">
        <v>273</v>
      </c>
    </row>
    <row r="6" spans="1:2">
      <c r="A6" s="31" t="s">
        <v>261</v>
      </c>
    </row>
    <row r="7" spans="1:2">
      <c r="A7" s="31" t="s">
        <v>262</v>
      </c>
    </row>
    <row r="8" spans="1:2">
      <c r="A8" s="31" t="s">
        <v>263</v>
      </c>
    </row>
    <row r="9" spans="1:2">
      <c r="A9" s="31" t="s">
        <v>264</v>
      </c>
    </row>
    <row r="12" spans="1:2">
      <c r="A12" s="32" t="s">
        <v>272</v>
      </c>
    </row>
    <row r="13" spans="1:2">
      <c r="A13" s="31" t="s">
        <v>265</v>
      </c>
    </row>
    <row r="14" spans="1:2">
      <c r="A14" s="31" t="s">
        <v>266</v>
      </c>
    </row>
    <row r="15" spans="1:2">
      <c r="A15" s="31" t="s">
        <v>274</v>
      </c>
    </row>
    <row r="16" spans="1:2">
      <c r="A16" s="31" t="s">
        <v>267</v>
      </c>
    </row>
    <row r="17" spans="1:1">
      <c r="A17" s="31" t="s">
        <v>268</v>
      </c>
    </row>
    <row r="18" spans="1:1">
      <c r="A18" s="31" t="s">
        <v>269</v>
      </c>
    </row>
  </sheetData>
  <pageMargins left="0.7" right="0.7" top="0.75" bottom="0.75" header="0.3" footer="0.3"/>
  <pageSetup scale="5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selection activeCell="A4" sqref="A4"/>
    </sheetView>
  </sheetViews>
  <sheetFormatPr defaultRowHeight="15"/>
  <cols>
    <col min="1" max="1" width="77.42578125" style="10" bestFit="1" customWidth="1"/>
    <col min="2" max="16384" width="9.140625" style="10"/>
  </cols>
  <sheetData>
    <row r="1" spans="1:16">
      <c r="A1" s="33" t="s">
        <v>271</v>
      </c>
    </row>
    <row r="2" spans="1:16" ht="135" customHeight="1">
      <c r="A2" s="34" t="s">
        <v>270</v>
      </c>
    </row>
    <row r="3" spans="1:16" ht="15.75">
      <c r="A3" s="35"/>
    </row>
    <row r="7" spans="1:16">
      <c r="P7" s="2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selection activeCell="E19" sqref="E19"/>
    </sheetView>
  </sheetViews>
  <sheetFormatPr defaultRowHeight="15"/>
  <cols>
    <col min="1" max="1" width="16.42578125" bestFit="1" customWidth="1"/>
  </cols>
  <sheetData>
    <row r="1" spans="1:2">
      <c r="A1" t="e">
        <f>SUMIFS('Cleaned Data'!E:E,Analysis!$A$19:$A$33,$A19)</f>
        <v>#VALUE!</v>
      </c>
    </row>
    <row r="2" spans="1:2">
      <c r="A2" s="36" t="s">
        <v>12</v>
      </c>
      <c r="B2">
        <f>SUMIFS('Cleaned Data'!E:E,'Cleaned Data'!C:C,$A2)</f>
        <v>24</v>
      </c>
    </row>
    <row r="3" spans="1:2">
      <c r="A3" s="36" t="s">
        <v>19</v>
      </c>
      <c r="B3">
        <f>SUMIFS('Cleaned Data'!E:E,'Cleaned Data'!C:C,$A3)</f>
        <v>28</v>
      </c>
    </row>
    <row r="4" spans="1:2">
      <c r="A4" s="36" t="s">
        <v>27</v>
      </c>
      <c r="B4">
        <f>SUMIFS('Cleaned Data'!E:E,'Cleaned Data'!C:C,$A4)</f>
        <v>44</v>
      </c>
    </row>
    <row r="5" spans="1:2">
      <c r="A5" s="36" t="s">
        <v>32</v>
      </c>
      <c r="B5">
        <f>SUMIFS('Cleaned Data'!E:E,'Cleaned Data'!C:C,$A5)</f>
        <v>25</v>
      </c>
    </row>
    <row r="6" spans="1:2">
      <c r="A6" s="36" t="s">
        <v>36</v>
      </c>
      <c r="B6">
        <f>SUMIFS('Cleaned Data'!E:E,'Cleaned Data'!C:C,$A6)</f>
        <v>21</v>
      </c>
    </row>
    <row r="7" spans="1:2">
      <c r="A7" s="36" t="s">
        <v>39</v>
      </c>
      <c r="B7">
        <f>SUMIFS('Cleaned Data'!E:E,'Cleaned Data'!C:C,$A7)</f>
        <v>38</v>
      </c>
    </row>
    <row r="8" spans="1:2">
      <c r="A8" s="36" t="s">
        <v>43</v>
      </c>
      <c r="B8">
        <f>SUMIFS('Cleaned Data'!E:E,'Cleaned Data'!C:C,$A8)</f>
        <v>25</v>
      </c>
    </row>
    <row r="9" spans="1:2">
      <c r="A9" s="36" t="s">
        <v>54</v>
      </c>
      <c r="B9">
        <f>SUMIFS('Cleaned Data'!E:E,'Cleaned Data'!C:C,$A9)</f>
        <v>28</v>
      </c>
    </row>
    <row r="10" spans="1:2">
      <c r="A10" s="36" t="s">
        <v>56</v>
      </c>
      <c r="B10">
        <f>SUMIFS('Cleaned Data'!E:E,'Cleaned Data'!C:C,$A10)</f>
        <v>24</v>
      </c>
    </row>
    <row r="11" spans="1:2">
      <c r="A11" s="36" t="s">
        <v>61</v>
      </c>
      <c r="B11">
        <f>SUMIFS('Cleaned Data'!E:E,'Cleaned Data'!C:C,$A11)</f>
        <v>26</v>
      </c>
    </row>
    <row r="12" spans="1:2">
      <c r="A12" s="36" t="s">
        <v>65</v>
      </c>
      <c r="B12">
        <f>SUMIFS('Cleaned Data'!E:E,'Cleaned Data'!C:C,$A12)</f>
        <v>19</v>
      </c>
    </row>
    <row r="13" spans="1:2">
      <c r="A13" s="36" t="s">
        <v>67</v>
      </c>
      <c r="B13">
        <f>SUMIFS('Cleaned Data'!E:E,'Cleaned Data'!C:C,$A13)</f>
        <v>23</v>
      </c>
    </row>
    <row r="14" spans="1:2">
      <c r="A14" s="36" t="s">
        <v>70</v>
      </c>
      <c r="B14">
        <f>SUMIFS('Cleaned Data'!E:E,'Cleaned Data'!C:C,$A14)</f>
        <v>15</v>
      </c>
    </row>
    <row r="15" spans="1:2">
      <c r="A15" s="36" t="s">
        <v>72</v>
      </c>
      <c r="B15">
        <f>SUMIFS('Cleaned Data'!E:E,'Cleaned Data'!C:C,$A15)</f>
        <v>12</v>
      </c>
    </row>
    <row r="16" spans="1:2">
      <c r="A16" s="36" t="s">
        <v>114</v>
      </c>
      <c r="B16">
        <f>SUMIFS('Cleaned Data'!E:E,'Cleaned Data'!C:C,$A16)</f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Cleaned Data</vt:lpstr>
      <vt:lpstr>Analysis</vt:lpstr>
      <vt:lpstr>Sheet3</vt:lpstr>
      <vt:lpstr>Monthly Analysis</vt:lpstr>
      <vt:lpstr>Pivot Analysis</vt:lpstr>
      <vt:lpstr>Dashboard</vt:lpstr>
      <vt:lpstr>Insights&amp;Recommendations</vt:lpstr>
      <vt:lpstr>Executive Summary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lastPrinted>2026-09-28T01:25:53Z</cp:lastPrinted>
  <dcterms:created xsi:type="dcterms:W3CDTF">2026-09-21T19:39:54Z</dcterms:created>
  <dcterms:modified xsi:type="dcterms:W3CDTF">2026-09-29T03:06:39Z</dcterms:modified>
</cp:coreProperties>
</file>